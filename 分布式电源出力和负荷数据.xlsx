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pythonproject\optimize\"/>
    </mc:Choice>
  </mc:AlternateContent>
  <xr:revisionPtr revIDLastSave="0" documentId="13_ncr:1_{C96B5342-04E4-4B77-9DAD-B12BBA1792D0}" xr6:coauthVersionLast="47" xr6:coauthVersionMax="47" xr10:uidLastSave="{00000000-0000-0000-0000-000000000000}"/>
  <bookViews>
    <workbookView xWindow="-120" yWindow="-120" windowWidth="38640" windowHeight="21390" activeTab="1" xr2:uid="{00000000-000D-0000-FFFF-FFFF00000000}"/>
  </bookViews>
  <sheets>
    <sheet name="WT" sheetId="1" r:id="rId1"/>
    <sheet name="PV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" i="2" l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2" i="2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2" i="1"/>
  <c r="X97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  <c r="F9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2" i="1"/>
</calcChain>
</file>

<file path=xl/sharedStrings.xml><?xml version="1.0" encoding="utf-8"?>
<sst xmlns="http://schemas.openxmlformats.org/spreadsheetml/2006/main" count="52" uniqueCount="52">
  <si>
    <t>WT2</t>
    <phoneticPr fontId="1" type="noConversion"/>
  </si>
  <si>
    <t>WT1</t>
    <phoneticPr fontId="1" type="noConversion"/>
  </si>
  <si>
    <t>WT1 Ref</t>
    <phoneticPr fontId="1" type="noConversion"/>
  </si>
  <si>
    <t>WT2 Ref</t>
    <phoneticPr fontId="1" type="noConversion"/>
  </si>
  <si>
    <t>WT3</t>
    <phoneticPr fontId="1" type="noConversion"/>
  </si>
  <si>
    <t>WT4</t>
    <phoneticPr fontId="1" type="noConversion"/>
  </si>
  <si>
    <t>WT4 Ref</t>
    <phoneticPr fontId="1" type="noConversion"/>
  </si>
  <si>
    <t>WT5</t>
    <phoneticPr fontId="1" type="noConversion"/>
  </si>
  <si>
    <t>WT5 Ref</t>
    <phoneticPr fontId="1" type="noConversion"/>
  </si>
  <si>
    <t>WT6</t>
    <phoneticPr fontId="1" type="noConversion"/>
  </si>
  <si>
    <t>WT6 Ref</t>
    <phoneticPr fontId="1" type="noConversion"/>
  </si>
  <si>
    <t>WT3 Ref</t>
    <phoneticPr fontId="1" type="noConversion"/>
  </si>
  <si>
    <t>WT7</t>
    <phoneticPr fontId="1" type="noConversion"/>
  </si>
  <si>
    <t>WT7 Ref</t>
  </si>
  <si>
    <t>WT8</t>
  </si>
  <si>
    <t>WT8 Ref</t>
  </si>
  <si>
    <t>WT9</t>
  </si>
  <si>
    <t>WT9 Ref</t>
  </si>
  <si>
    <t>WT10</t>
  </si>
  <si>
    <t>WT10 Ref</t>
  </si>
  <si>
    <t>WT11</t>
  </si>
  <si>
    <t>WT11 Ref</t>
  </si>
  <si>
    <t>WT12</t>
  </si>
  <si>
    <t>WT12 Ref</t>
  </si>
  <si>
    <t>WT13</t>
    <phoneticPr fontId="1" type="noConversion"/>
  </si>
  <si>
    <t>WT13 Ref</t>
    <phoneticPr fontId="1" type="noConversion"/>
  </si>
  <si>
    <t>PV1</t>
    <phoneticPr fontId="1" type="noConversion"/>
  </si>
  <si>
    <t>PV1 Ref</t>
    <phoneticPr fontId="1" type="noConversion"/>
  </si>
  <si>
    <t>PV2</t>
    <phoneticPr fontId="1" type="noConversion"/>
  </si>
  <si>
    <t>PV2 Ref</t>
    <phoneticPr fontId="1" type="noConversion"/>
  </si>
  <si>
    <t>PV3</t>
    <phoneticPr fontId="1" type="noConversion"/>
  </si>
  <si>
    <t>PV3 Ref</t>
    <phoneticPr fontId="1" type="noConversion"/>
  </si>
  <si>
    <t>PV4</t>
  </si>
  <si>
    <t>PV4 Ref</t>
  </si>
  <si>
    <t>PV5</t>
  </si>
  <si>
    <t>PV5 Ref</t>
  </si>
  <si>
    <t>PV6</t>
  </si>
  <si>
    <t>PV6 Ref</t>
  </si>
  <si>
    <t>PV7</t>
  </si>
  <si>
    <t>PV7 Ref</t>
  </si>
  <si>
    <t>PV8</t>
  </si>
  <si>
    <t>PV8 Ref</t>
  </si>
  <si>
    <t>PV9</t>
  </si>
  <si>
    <t>PV9 Ref</t>
  </si>
  <si>
    <t>PV10</t>
  </si>
  <si>
    <t>PV10 Ref</t>
  </si>
  <si>
    <t>PV11</t>
  </si>
  <si>
    <t>PV11 Ref</t>
  </si>
  <si>
    <t>PV12</t>
  </si>
  <si>
    <t>PV12 Ref</t>
  </si>
  <si>
    <t>PV13</t>
  </si>
  <si>
    <t>PV13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</si>
</sst>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8" applyNumberFormat="0" applyFont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1">
      <alignment vertical="center"/>
    </xf>
    <xf numFmtId="0" fontId="19" fillId="0" borderId="0" xfId="42">
      <alignment vertical="center"/>
    </xf>
  </cellXfs>
  <cellStyles count="44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常规" xfId="0" builtinId="0"/>
    <cellStyle name="常规 2" xfId="1" xr:uid="{E5C7F714-59CC-4B88-B7CB-D006223DDC56}"/>
    <cellStyle name="常规 3" xfId="42" xr:uid="{B1CDF952-6D89-4BBE-9A7C-B4673758CE5E}"/>
    <cellStyle name="好" xfId="7" builtinId="26" customBuiltin="1"/>
    <cellStyle name="汇总" xfId="17" builtinId="25" customBuiltin="1"/>
    <cellStyle name="计算" xfId="12" builtinId="22" customBuiltin="1"/>
    <cellStyle name="检查单元格" xfId="14" builtinId="23" customBuiltin="1"/>
    <cellStyle name="解释性文本" xfId="16" builtinId="53" customBuiltin="1"/>
    <cellStyle name="警告文本" xfId="15" builtinId="11" customBuiltin="1"/>
    <cellStyle name="链接单元格" xfId="13" builtinId="24" customBuiltin="1"/>
    <cellStyle name="适中" xfId="9" builtinId="28" customBuiltin="1"/>
    <cellStyle name="输出" xfId="11" builtinId="21" customBuiltin="1"/>
    <cellStyle name="输入" xfId="10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 2" xfId="43" xr:uid="{D693F976-97DC-40EB-9E82-F35E75490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"/>
  <sheetViews>
    <sheetView zoomScale="115" zoomScaleNormal="115" workbookViewId="0">
      <selection sqref="A1:XFD1"/>
    </sheetView>
  </sheetViews>
  <sheetFormatPr defaultRowHeight="14.25" x14ac:dyDescent="0.2"/>
  <sheetData>
    <row r="1" spans="1:26" x14ac:dyDescent="0.2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11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s="1">
        <v>34.56</v>
      </c>
      <c r="B2">
        <f>A2/339.43</f>
        <v>0.10181775329228412</v>
      </c>
      <c r="C2">
        <v>149.97999999999999</v>
      </c>
      <c r="D2">
        <f>C2/333.13</f>
        <v>0.45021463092486413</v>
      </c>
      <c r="E2">
        <v>344.71</v>
      </c>
      <c r="F2">
        <f>E2/954.13</f>
        <v>0.36128200559672158</v>
      </c>
      <c r="G2">
        <v>666.94</v>
      </c>
      <c r="H2">
        <f>G2/1110.55</f>
        <v>0.60054927738507957</v>
      </c>
      <c r="I2">
        <v>478.49</v>
      </c>
      <c r="J2">
        <f>I2/500.57</f>
        <v>0.9558902850750145</v>
      </c>
      <c r="K2">
        <v>317.33</v>
      </c>
      <c r="L2">
        <f>K2/362.12</f>
        <v>0.87631171987186562</v>
      </c>
      <c r="M2">
        <v>124.76</v>
      </c>
      <c r="N2">
        <f>M2/1208.55</f>
        <v>0.10323114476024989</v>
      </c>
      <c r="O2">
        <v>771.47</v>
      </c>
      <c r="P2">
        <f>O2/937.47</f>
        <v>0.82292766701867792</v>
      </c>
      <c r="Q2">
        <v>955.85</v>
      </c>
      <c r="R2">
        <f>Q2/1902.72</f>
        <v>0.50235977968382106</v>
      </c>
      <c r="S2">
        <v>1851.46</v>
      </c>
      <c r="T2">
        <f>S2/1912.03</f>
        <v>0.96832162675271838</v>
      </c>
      <c r="U2">
        <v>1384.01</v>
      </c>
      <c r="V2">
        <f>U2/1890.39</f>
        <v>0.73212934897031823</v>
      </c>
      <c r="W2">
        <v>537.72</v>
      </c>
      <c r="X2">
        <f>W2/871.16</f>
        <v>0.61724597088938893</v>
      </c>
      <c r="Y2">
        <v>903.67</v>
      </c>
      <c r="Z2">
        <f>Y2/916.33</f>
        <v>0.98618401667521516</v>
      </c>
    </row>
    <row r="3" spans="1:26" x14ac:dyDescent="0.2">
      <c r="A3" s="1">
        <v>33.56</v>
      </c>
      <c r="B3">
        <f t="shared" ref="B3:B66" si="0">A3/339.43</f>
        <v>9.8871637745632387E-2</v>
      </c>
      <c r="C3">
        <v>164.74</v>
      </c>
      <c r="D3">
        <f t="shared" ref="D3:D66" si="1">C3/333.13</f>
        <v>0.49452165821150906</v>
      </c>
      <c r="E3">
        <v>370.03</v>
      </c>
      <c r="F3">
        <f t="shared" ref="F3:F66" si="2">E3/954.13</f>
        <v>0.38781926991080878</v>
      </c>
      <c r="G3">
        <v>670.05</v>
      </c>
      <c r="H3">
        <f t="shared" ref="H3:H66" si="3">G3/1110.55</f>
        <v>0.60334969159425511</v>
      </c>
      <c r="I3">
        <v>432.08</v>
      </c>
      <c r="J3">
        <f t="shared" ref="J3:J66" si="4">I3/500.57</f>
        <v>0.86317597938350277</v>
      </c>
      <c r="K3">
        <v>321.45999999999998</v>
      </c>
      <c r="L3">
        <f t="shared" ref="L3:L66" si="5">K3/362.12</f>
        <v>0.8877167789682977</v>
      </c>
      <c r="M3">
        <v>116.85</v>
      </c>
      <c r="N3">
        <f t="shared" ref="N3:N66" si="6">M3/1208.55</f>
        <v>9.6686111455876883E-2</v>
      </c>
      <c r="O3">
        <v>753.28</v>
      </c>
      <c r="P3">
        <f t="shared" ref="P3:P66" si="7">O3/937.47</f>
        <v>0.80352437944680888</v>
      </c>
      <c r="Q3">
        <v>956.75</v>
      </c>
      <c r="R3">
        <f t="shared" ref="R3:R66" si="8">Q3/1902.72</f>
        <v>0.50283278674739318</v>
      </c>
      <c r="S3">
        <v>1864.84</v>
      </c>
      <c r="T3">
        <f t="shared" ref="T3:T66" si="9">S3/1912.03</f>
        <v>0.97531942490442092</v>
      </c>
      <c r="U3">
        <v>1419.89</v>
      </c>
      <c r="V3">
        <f t="shared" ref="V3:V66" si="10">U3/1890.39</f>
        <v>0.7511095594030861</v>
      </c>
      <c r="W3">
        <v>526.98</v>
      </c>
      <c r="X3">
        <f t="shared" ref="X3:X66" si="11">W3/871.16</f>
        <v>0.60491758115615968</v>
      </c>
      <c r="Y3">
        <v>916.33</v>
      </c>
      <c r="Z3">
        <f t="shared" ref="Z3:Z66" si="12">Y3/916.33</f>
        <v>1</v>
      </c>
    </row>
    <row r="4" spans="1:26" x14ac:dyDescent="0.2">
      <c r="A4" s="1">
        <v>31.48</v>
      </c>
      <c r="B4">
        <f t="shared" si="0"/>
        <v>9.2743717408596771E-2</v>
      </c>
      <c r="C4">
        <v>158.16</v>
      </c>
      <c r="D4">
        <f t="shared" si="1"/>
        <v>0.47476960946177166</v>
      </c>
      <c r="E4">
        <v>373.45</v>
      </c>
      <c r="F4">
        <f t="shared" si="2"/>
        <v>0.39140368712858836</v>
      </c>
      <c r="G4">
        <v>668.51</v>
      </c>
      <c r="H4">
        <f t="shared" si="3"/>
        <v>0.60196299131061193</v>
      </c>
      <c r="I4">
        <v>415.93</v>
      </c>
      <c r="J4">
        <f t="shared" si="4"/>
        <v>0.83091275945422216</v>
      </c>
      <c r="K4">
        <v>320.83999999999997</v>
      </c>
      <c r="L4">
        <f t="shared" si="5"/>
        <v>0.8860046393460731</v>
      </c>
      <c r="M4">
        <v>119.54</v>
      </c>
      <c r="N4">
        <f t="shared" si="6"/>
        <v>9.8911919242066951E-2</v>
      </c>
      <c r="O4">
        <v>740.7</v>
      </c>
      <c r="P4">
        <f t="shared" si="7"/>
        <v>0.79010528336906782</v>
      </c>
      <c r="Q4">
        <v>968.15</v>
      </c>
      <c r="R4">
        <f t="shared" si="8"/>
        <v>0.50882420955264041</v>
      </c>
      <c r="S4">
        <v>1862.2</v>
      </c>
      <c r="T4">
        <f t="shared" si="9"/>
        <v>0.9739386934305424</v>
      </c>
      <c r="U4">
        <v>1456.38</v>
      </c>
      <c r="V4">
        <f t="shared" si="10"/>
        <v>0.77041245457286589</v>
      </c>
      <c r="W4">
        <v>489.63</v>
      </c>
      <c r="X4">
        <f t="shared" si="11"/>
        <v>0.56204371183249924</v>
      </c>
      <c r="Y4">
        <v>892.19</v>
      </c>
      <c r="Z4">
        <f t="shared" si="12"/>
        <v>0.97365577903157163</v>
      </c>
    </row>
    <row r="5" spans="1:26" x14ac:dyDescent="0.2">
      <c r="A5" s="1">
        <v>31.99</v>
      </c>
      <c r="B5">
        <f t="shared" si="0"/>
        <v>9.4246236337389142E-2</v>
      </c>
      <c r="C5">
        <v>153.93</v>
      </c>
      <c r="D5">
        <f t="shared" si="1"/>
        <v>0.46207186383694054</v>
      </c>
      <c r="E5">
        <v>383.16</v>
      </c>
      <c r="F5">
        <f t="shared" si="2"/>
        <v>0.40158049741649465</v>
      </c>
      <c r="G5">
        <v>681.02</v>
      </c>
      <c r="H5">
        <f t="shared" si="3"/>
        <v>0.61322767997838912</v>
      </c>
      <c r="I5">
        <v>402.32</v>
      </c>
      <c r="J5">
        <f t="shared" si="4"/>
        <v>0.80372375491939185</v>
      </c>
      <c r="K5">
        <v>323.11</v>
      </c>
      <c r="L5">
        <f t="shared" si="5"/>
        <v>0.89227327957583125</v>
      </c>
      <c r="M5">
        <v>119.36</v>
      </c>
      <c r="N5">
        <f t="shared" si="6"/>
        <v>9.8762980431095118E-2</v>
      </c>
      <c r="O5">
        <v>719.73</v>
      </c>
      <c r="P5">
        <f t="shared" si="7"/>
        <v>0.76773656757016229</v>
      </c>
      <c r="Q5">
        <v>982.55</v>
      </c>
      <c r="R5">
        <f t="shared" si="8"/>
        <v>0.51639232256979484</v>
      </c>
      <c r="S5">
        <v>1865.13</v>
      </c>
      <c r="T5">
        <f t="shared" si="9"/>
        <v>0.9754710961648092</v>
      </c>
      <c r="U5">
        <v>1495.91</v>
      </c>
      <c r="V5">
        <f t="shared" si="10"/>
        <v>0.79132348351398385</v>
      </c>
      <c r="W5">
        <v>455.61</v>
      </c>
      <c r="X5">
        <f t="shared" si="11"/>
        <v>0.52299233206299645</v>
      </c>
      <c r="Y5">
        <v>841.05</v>
      </c>
      <c r="Z5">
        <f t="shared" si="12"/>
        <v>0.9178461907827965</v>
      </c>
    </row>
    <row r="6" spans="1:26" x14ac:dyDescent="0.2">
      <c r="A6" s="1">
        <v>29.4</v>
      </c>
      <c r="B6">
        <f t="shared" si="0"/>
        <v>8.661579707156114E-2</v>
      </c>
      <c r="C6">
        <v>146.41999999999999</v>
      </c>
      <c r="D6">
        <f t="shared" si="1"/>
        <v>0.43952811214841048</v>
      </c>
      <c r="E6">
        <v>395.79</v>
      </c>
      <c r="F6">
        <f t="shared" si="2"/>
        <v>0.41481768731724189</v>
      </c>
      <c r="G6">
        <v>683.64</v>
      </c>
      <c r="H6">
        <f t="shared" si="3"/>
        <v>0.61558687137004187</v>
      </c>
      <c r="I6">
        <v>387.31</v>
      </c>
      <c r="J6">
        <f t="shared" si="4"/>
        <v>0.77373793874982522</v>
      </c>
      <c r="K6">
        <v>332.7</v>
      </c>
      <c r="L6">
        <f t="shared" si="5"/>
        <v>0.91875621340991931</v>
      </c>
      <c r="M6">
        <v>120.14</v>
      </c>
      <c r="N6">
        <f t="shared" si="6"/>
        <v>9.9408381945306365E-2</v>
      </c>
      <c r="O6">
        <v>754.19</v>
      </c>
      <c r="P6">
        <f t="shared" si="7"/>
        <v>0.80449507717580304</v>
      </c>
      <c r="Q6">
        <v>973.93</v>
      </c>
      <c r="R6">
        <f t="shared" si="8"/>
        <v>0.51186196602758149</v>
      </c>
      <c r="S6">
        <v>1842.74</v>
      </c>
      <c r="T6">
        <f t="shared" si="9"/>
        <v>0.96376102885414983</v>
      </c>
      <c r="U6">
        <v>1528.61</v>
      </c>
      <c r="V6">
        <f t="shared" si="10"/>
        <v>0.80862150138331235</v>
      </c>
      <c r="W6">
        <v>406.54</v>
      </c>
      <c r="X6">
        <f t="shared" si="11"/>
        <v>0.46666513614031868</v>
      </c>
      <c r="Y6">
        <v>858.24</v>
      </c>
      <c r="Z6">
        <f t="shared" si="12"/>
        <v>0.9366058079512839</v>
      </c>
    </row>
    <row r="7" spans="1:26" x14ac:dyDescent="0.2">
      <c r="A7" s="1">
        <v>26.79</v>
      </c>
      <c r="B7">
        <f t="shared" si="0"/>
        <v>7.8926435494800107E-2</v>
      </c>
      <c r="C7">
        <v>134.03</v>
      </c>
      <c r="D7">
        <f t="shared" si="1"/>
        <v>0.4023354246090115</v>
      </c>
      <c r="E7">
        <v>398.16</v>
      </c>
      <c r="F7">
        <f t="shared" si="2"/>
        <v>0.41730162556465056</v>
      </c>
      <c r="G7">
        <v>660.71</v>
      </c>
      <c r="H7">
        <f t="shared" si="3"/>
        <v>0.59493944441943192</v>
      </c>
      <c r="I7">
        <v>384.17</v>
      </c>
      <c r="J7">
        <f t="shared" si="4"/>
        <v>0.76746508979763073</v>
      </c>
      <c r="K7">
        <v>336.02</v>
      </c>
      <c r="L7">
        <f t="shared" si="5"/>
        <v>0.92792444493538051</v>
      </c>
      <c r="M7">
        <v>121.88</v>
      </c>
      <c r="N7">
        <f t="shared" si="6"/>
        <v>0.10084812378470068</v>
      </c>
      <c r="O7">
        <v>807.9</v>
      </c>
      <c r="P7">
        <f t="shared" si="7"/>
        <v>0.86178757720247046</v>
      </c>
      <c r="Q7">
        <v>947.78</v>
      </c>
      <c r="R7">
        <f t="shared" si="8"/>
        <v>0.49811848301379075</v>
      </c>
      <c r="S7">
        <v>1864.13</v>
      </c>
      <c r="T7">
        <f t="shared" si="9"/>
        <v>0.97494809181864306</v>
      </c>
      <c r="U7">
        <v>1531.32</v>
      </c>
      <c r="V7">
        <f t="shared" si="10"/>
        <v>0.81005506800184079</v>
      </c>
      <c r="W7">
        <v>377.84</v>
      </c>
      <c r="X7">
        <f t="shared" si="11"/>
        <v>0.43372055649938013</v>
      </c>
      <c r="Y7">
        <v>872.81</v>
      </c>
      <c r="Z7">
        <f t="shared" si="12"/>
        <v>0.95250619318367824</v>
      </c>
    </row>
    <row r="8" spans="1:26" x14ac:dyDescent="0.2">
      <c r="A8" s="1">
        <v>25.94</v>
      </c>
      <c r="B8">
        <f t="shared" si="0"/>
        <v>7.6422237280146132E-2</v>
      </c>
      <c r="C8">
        <v>145.28</v>
      </c>
      <c r="D8">
        <f t="shared" si="1"/>
        <v>0.43610602467505177</v>
      </c>
      <c r="E8">
        <v>397.95</v>
      </c>
      <c r="F8">
        <f t="shared" si="2"/>
        <v>0.41708152977057633</v>
      </c>
      <c r="G8">
        <v>646.04</v>
      </c>
      <c r="H8">
        <f t="shared" si="3"/>
        <v>0.58172977353563549</v>
      </c>
      <c r="I8">
        <v>375.35</v>
      </c>
      <c r="J8">
        <f t="shared" si="4"/>
        <v>0.74984517649879145</v>
      </c>
      <c r="K8">
        <v>330.8</v>
      </c>
      <c r="L8">
        <f t="shared" si="5"/>
        <v>0.9135093339224567</v>
      </c>
      <c r="M8">
        <v>120.31</v>
      </c>
      <c r="N8">
        <f t="shared" si="6"/>
        <v>9.954904637789086E-2</v>
      </c>
      <c r="O8">
        <v>808.52</v>
      </c>
      <c r="P8">
        <f t="shared" si="7"/>
        <v>0.86244893169914771</v>
      </c>
      <c r="Q8">
        <v>918.42</v>
      </c>
      <c r="R8">
        <f t="shared" si="8"/>
        <v>0.48268794147325933</v>
      </c>
      <c r="S8">
        <v>1871.08</v>
      </c>
      <c r="T8">
        <f t="shared" si="9"/>
        <v>0.97858297202449751</v>
      </c>
      <c r="U8">
        <v>1537.25</v>
      </c>
      <c r="V8">
        <f t="shared" si="10"/>
        <v>0.81319198683869465</v>
      </c>
      <c r="W8">
        <v>375.75</v>
      </c>
      <c r="X8">
        <f t="shared" si="11"/>
        <v>0.43132145644887276</v>
      </c>
      <c r="Y8">
        <v>882</v>
      </c>
      <c r="Z8">
        <f t="shared" si="12"/>
        <v>0.96253533115798884</v>
      </c>
    </row>
    <row r="9" spans="1:26" x14ac:dyDescent="0.2">
      <c r="A9" s="1">
        <v>25.71</v>
      </c>
      <c r="B9">
        <f t="shared" si="0"/>
        <v>7.5744630704416227E-2</v>
      </c>
      <c r="C9">
        <v>152.66</v>
      </c>
      <c r="D9">
        <f t="shared" si="1"/>
        <v>0.45825953831837418</v>
      </c>
      <c r="E9">
        <v>390.67</v>
      </c>
      <c r="F9">
        <f t="shared" si="2"/>
        <v>0.40945154224267133</v>
      </c>
      <c r="G9">
        <v>642.83000000000004</v>
      </c>
      <c r="H9">
        <f t="shared" si="3"/>
        <v>0.57883931385349607</v>
      </c>
      <c r="I9">
        <v>371.76</v>
      </c>
      <c r="J9">
        <f t="shared" si="4"/>
        <v>0.7426733523782888</v>
      </c>
      <c r="K9">
        <v>346.6</v>
      </c>
      <c r="L9">
        <f t="shared" si="5"/>
        <v>0.95714127913398883</v>
      </c>
      <c r="M9">
        <v>112.43</v>
      </c>
      <c r="N9">
        <f t="shared" si="6"/>
        <v>9.3028836208679827E-2</v>
      </c>
      <c r="O9">
        <v>758.64</v>
      </c>
      <c r="P9">
        <f t="shared" si="7"/>
        <v>0.80924189574066363</v>
      </c>
      <c r="Q9">
        <v>871.56</v>
      </c>
      <c r="R9">
        <f t="shared" si="8"/>
        <v>0.45806004036326942</v>
      </c>
      <c r="S9">
        <v>1871.75</v>
      </c>
      <c r="T9">
        <f t="shared" si="9"/>
        <v>0.97893338493642879</v>
      </c>
      <c r="U9">
        <v>1546.75</v>
      </c>
      <c r="V9">
        <f t="shared" si="10"/>
        <v>0.81821740487412642</v>
      </c>
      <c r="W9">
        <v>365.22</v>
      </c>
      <c r="X9">
        <f t="shared" si="11"/>
        <v>0.41923412461545528</v>
      </c>
      <c r="Y9">
        <v>855.97</v>
      </c>
      <c r="Z9">
        <f t="shared" si="12"/>
        <v>0.93412853447993627</v>
      </c>
    </row>
    <row r="10" spans="1:26" x14ac:dyDescent="0.2">
      <c r="A10" s="1">
        <v>29.93</v>
      </c>
      <c r="B10">
        <f t="shared" si="0"/>
        <v>8.8177238311286571E-2</v>
      </c>
      <c r="C10">
        <v>140.19999999999999</v>
      </c>
      <c r="D10">
        <f t="shared" si="1"/>
        <v>0.42085672260078644</v>
      </c>
      <c r="E10">
        <v>379.09</v>
      </c>
      <c r="F10">
        <f t="shared" si="2"/>
        <v>0.39731483131229495</v>
      </c>
      <c r="G10">
        <v>646.45000000000005</v>
      </c>
      <c r="H10">
        <f t="shared" si="3"/>
        <v>0.58209895997478733</v>
      </c>
      <c r="I10">
        <v>355.81</v>
      </c>
      <c r="J10">
        <f t="shared" si="4"/>
        <v>0.71080967696825625</v>
      </c>
      <c r="K10">
        <v>353.1</v>
      </c>
      <c r="L10">
        <f t="shared" si="5"/>
        <v>0.97509113001215075</v>
      </c>
      <c r="M10">
        <v>108.3</v>
      </c>
      <c r="N10">
        <f t="shared" si="6"/>
        <v>8.9611517934715154E-2</v>
      </c>
      <c r="O10">
        <v>757.84</v>
      </c>
      <c r="P10">
        <f t="shared" si="7"/>
        <v>0.80838853509978992</v>
      </c>
      <c r="Q10">
        <v>851.72</v>
      </c>
      <c r="R10">
        <f t="shared" si="8"/>
        <v>0.4476328624285234</v>
      </c>
      <c r="S10">
        <v>1856.29</v>
      </c>
      <c r="T10">
        <f t="shared" si="9"/>
        <v>0.97084773774470068</v>
      </c>
      <c r="U10">
        <v>1532.13</v>
      </c>
      <c r="V10">
        <f t="shared" si="10"/>
        <v>0.81048355101328295</v>
      </c>
      <c r="W10">
        <v>361.58</v>
      </c>
      <c r="X10">
        <f t="shared" si="11"/>
        <v>0.41505578768538498</v>
      </c>
      <c r="Y10">
        <v>831.36</v>
      </c>
      <c r="Z10">
        <f t="shared" si="12"/>
        <v>0.90727139785884992</v>
      </c>
    </row>
    <row r="11" spans="1:26" x14ac:dyDescent="0.2">
      <c r="A11" s="1">
        <v>34.25</v>
      </c>
      <c r="B11">
        <f t="shared" si="0"/>
        <v>0.10090445747282208</v>
      </c>
      <c r="C11">
        <v>134.1</v>
      </c>
      <c r="D11">
        <f t="shared" si="1"/>
        <v>0.40254555278720017</v>
      </c>
      <c r="E11">
        <v>378.23</v>
      </c>
      <c r="F11">
        <f t="shared" si="2"/>
        <v>0.3964134866318007</v>
      </c>
      <c r="G11">
        <v>652.99</v>
      </c>
      <c r="H11">
        <f t="shared" si="3"/>
        <v>0.58798793390662285</v>
      </c>
      <c r="I11">
        <v>361.26</v>
      </c>
      <c r="J11">
        <f t="shared" si="4"/>
        <v>0.72169726511776577</v>
      </c>
      <c r="K11">
        <v>362.12</v>
      </c>
      <c r="L11">
        <f t="shared" si="5"/>
        <v>1</v>
      </c>
      <c r="M11">
        <v>105.95</v>
      </c>
      <c r="N11">
        <f t="shared" si="6"/>
        <v>8.7667039013694104E-2</v>
      </c>
      <c r="O11">
        <v>727.23</v>
      </c>
      <c r="P11">
        <f t="shared" si="7"/>
        <v>0.7757368235783545</v>
      </c>
      <c r="Q11">
        <v>861.39</v>
      </c>
      <c r="R11">
        <f t="shared" si="8"/>
        <v>0.45271506054490412</v>
      </c>
      <c r="S11">
        <v>1858.12</v>
      </c>
      <c r="T11">
        <f t="shared" si="9"/>
        <v>0.97180483569818465</v>
      </c>
      <c r="U11">
        <v>1581.43</v>
      </c>
      <c r="V11">
        <f t="shared" si="10"/>
        <v>0.83656282566031348</v>
      </c>
      <c r="W11">
        <v>370.24</v>
      </c>
      <c r="X11">
        <f t="shared" si="11"/>
        <v>0.42499655631571698</v>
      </c>
      <c r="Y11">
        <v>809.82</v>
      </c>
      <c r="Z11">
        <f t="shared" si="12"/>
        <v>0.88376458262852908</v>
      </c>
    </row>
    <row r="12" spans="1:26" x14ac:dyDescent="0.2">
      <c r="A12" s="1">
        <v>36.26</v>
      </c>
      <c r="B12">
        <f t="shared" si="0"/>
        <v>0.10682614972159207</v>
      </c>
      <c r="C12">
        <v>138.68</v>
      </c>
      <c r="D12">
        <f t="shared" si="1"/>
        <v>0.41629393930297481</v>
      </c>
      <c r="E12">
        <v>377.04</v>
      </c>
      <c r="F12">
        <f t="shared" si="2"/>
        <v>0.39516627713204699</v>
      </c>
      <c r="G12">
        <v>647.57000000000005</v>
      </c>
      <c r="H12">
        <f t="shared" si="3"/>
        <v>0.58310746927198243</v>
      </c>
      <c r="I12">
        <v>361.33</v>
      </c>
      <c r="J12">
        <f t="shared" si="4"/>
        <v>0.72183710569950255</v>
      </c>
      <c r="K12">
        <v>343.7</v>
      </c>
      <c r="L12">
        <f t="shared" si="5"/>
        <v>0.94913288412680874</v>
      </c>
      <c r="M12">
        <v>104.9</v>
      </c>
      <c r="N12">
        <f t="shared" si="6"/>
        <v>8.6798229283025122E-2</v>
      </c>
      <c r="O12">
        <v>647.66</v>
      </c>
      <c r="P12">
        <f t="shared" si="7"/>
        <v>0.69085944083544004</v>
      </c>
      <c r="Q12">
        <v>879</v>
      </c>
      <c r="R12">
        <f t="shared" si="8"/>
        <v>0.46197023208879917</v>
      </c>
      <c r="S12">
        <v>1859.53</v>
      </c>
      <c r="T12">
        <f t="shared" si="9"/>
        <v>0.97254227182627884</v>
      </c>
      <c r="U12">
        <v>1588.87</v>
      </c>
      <c r="V12">
        <f t="shared" si="10"/>
        <v>0.84049852146911475</v>
      </c>
      <c r="W12">
        <v>384.12</v>
      </c>
      <c r="X12">
        <f t="shared" si="11"/>
        <v>0.44092933559851233</v>
      </c>
      <c r="Y12">
        <v>800.63</v>
      </c>
      <c r="Z12">
        <f t="shared" si="12"/>
        <v>0.87373544465421837</v>
      </c>
    </row>
    <row r="13" spans="1:26" x14ac:dyDescent="0.2">
      <c r="A13" s="1">
        <v>39.81</v>
      </c>
      <c r="B13">
        <f t="shared" si="0"/>
        <v>0.11728485991220576</v>
      </c>
      <c r="C13">
        <v>146.68</v>
      </c>
      <c r="D13">
        <f t="shared" si="1"/>
        <v>0.44030858823882574</v>
      </c>
      <c r="E13">
        <v>363.93</v>
      </c>
      <c r="F13">
        <f t="shared" si="2"/>
        <v>0.38142601113055874</v>
      </c>
      <c r="G13">
        <v>633.76</v>
      </c>
      <c r="H13">
        <f t="shared" si="3"/>
        <v>0.57067218945567511</v>
      </c>
      <c r="I13">
        <v>375.17</v>
      </c>
      <c r="J13">
        <f t="shared" si="4"/>
        <v>0.74948558643146812</v>
      </c>
      <c r="K13">
        <v>315.27</v>
      </c>
      <c r="L13">
        <f t="shared" si="5"/>
        <v>0.8706229979012482</v>
      </c>
      <c r="M13">
        <v>105.92</v>
      </c>
      <c r="N13">
        <f t="shared" si="6"/>
        <v>8.7642215878532131E-2</v>
      </c>
      <c r="O13">
        <v>592.41</v>
      </c>
      <c r="P13">
        <f t="shared" si="7"/>
        <v>0.63192422157509032</v>
      </c>
      <c r="Q13">
        <v>901.77</v>
      </c>
      <c r="R13">
        <f t="shared" si="8"/>
        <v>0.47393731079717455</v>
      </c>
      <c r="S13">
        <v>1873.58</v>
      </c>
      <c r="T13">
        <f t="shared" si="9"/>
        <v>0.97989048288991276</v>
      </c>
      <c r="U13">
        <v>1614.63</v>
      </c>
      <c r="V13">
        <f t="shared" si="10"/>
        <v>0.85412533921571743</v>
      </c>
      <c r="W13">
        <v>395.66</v>
      </c>
      <c r="X13">
        <f t="shared" si="11"/>
        <v>0.45417604114054827</v>
      </c>
      <c r="Y13">
        <v>764.92</v>
      </c>
      <c r="Z13">
        <f t="shared" si="12"/>
        <v>0.83476476815121181</v>
      </c>
    </row>
    <row r="14" spans="1:26" x14ac:dyDescent="0.2">
      <c r="A14" s="1">
        <v>38.619999999999997</v>
      </c>
      <c r="B14">
        <f t="shared" si="0"/>
        <v>0.11377898241169018</v>
      </c>
      <c r="C14">
        <v>141.21</v>
      </c>
      <c r="D14">
        <f t="shared" si="1"/>
        <v>0.4238885720289377</v>
      </c>
      <c r="E14">
        <v>369.54</v>
      </c>
      <c r="F14">
        <f t="shared" si="2"/>
        <v>0.38730571305796907</v>
      </c>
      <c r="G14">
        <v>633.73</v>
      </c>
      <c r="H14">
        <f t="shared" si="3"/>
        <v>0.57064517581378604</v>
      </c>
      <c r="I14">
        <v>402.62</v>
      </c>
      <c r="J14">
        <f t="shared" si="4"/>
        <v>0.804323071698264</v>
      </c>
      <c r="K14">
        <v>301.72000000000003</v>
      </c>
      <c r="L14">
        <f t="shared" si="5"/>
        <v>0.83320446260907988</v>
      </c>
      <c r="M14">
        <v>111.26</v>
      </c>
      <c r="N14">
        <f t="shared" si="6"/>
        <v>9.2060733937362957E-2</v>
      </c>
      <c r="O14">
        <v>543.67999999999995</v>
      </c>
      <c r="P14">
        <f t="shared" si="7"/>
        <v>0.57994389153786252</v>
      </c>
      <c r="Q14">
        <v>930.42</v>
      </c>
      <c r="R14">
        <f t="shared" si="8"/>
        <v>0.48899470232088799</v>
      </c>
      <c r="S14">
        <v>1859</v>
      </c>
      <c r="T14">
        <f t="shared" si="9"/>
        <v>0.97226507952281083</v>
      </c>
      <c r="U14">
        <v>1605.38</v>
      </c>
      <c r="V14">
        <f t="shared" si="10"/>
        <v>0.84923216902332321</v>
      </c>
      <c r="W14">
        <v>388.09</v>
      </c>
      <c r="X14">
        <f t="shared" si="11"/>
        <v>0.44548647779971529</v>
      </c>
      <c r="Y14">
        <v>733.95</v>
      </c>
      <c r="Z14">
        <f t="shared" si="12"/>
        <v>0.80096690057075504</v>
      </c>
    </row>
    <row r="15" spans="1:26" x14ac:dyDescent="0.2">
      <c r="A15" s="1">
        <v>41.85</v>
      </c>
      <c r="B15">
        <f t="shared" si="0"/>
        <v>0.12329493562737531</v>
      </c>
      <c r="C15">
        <v>121.16</v>
      </c>
      <c r="D15">
        <f t="shared" si="1"/>
        <v>0.3637018581334614</v>
      </c>
      <c r="E15">
        <v>390.19</v>
      </c>
      <c r="F15">
        <f t="shared" si="2"/>
        <v>0.40894846614193037</v>
      </c>
      <c r="G15">
        <v>638.57000000000005</v>
      </c>
      <c r="H15">
        <f t="shared" si="3"/>
        <v>0.57500337670523616</v>
      </c>
      <c r="I15">
        <v>423</v>
      </c>
      <c r="J15">
        <f t="shared" si="4"/>
        <v>0.84503665820964102</v>
      </c>
      <c r="K15">
        <v>295.94</v>
      </c>
      <c r="L15">
        <f t="shared" si="5"/>
        <v>0.81724290290511437</v>
      </c>
      <c r="M15">
        <v>124.17</v>
      </c>
      <c r="N15">
        <f t="shared" si="6"/>
        <v>0.1027429564353978</v>
      </c>
      <c r="O15">
        <v>517.55999999999995</v>
      </c>
      <c r="P15">
        <f t="shared" si="7"/>
        <v>0.55208166661333158</v>
      </c>
      <c r="Q15">
        <v>951.64</v>
      </c>
      <c r="R15">
        <f t="shared" si="8"/>
        <v>0.50014715775311136</v>
      </c>
      <c r="S15">
        <v>1880.05</v>
      </c>
      <c r="T15">
        <f t="shared" si="9"/>
        <v>0.98327432100960754</v>
      </c>
      <c r="U15">
        <v>1557.06</v>
      </c>
      <c r="V15">
        <f t="shared" si="10"/>
        <v>0.82367130592100035</v>
      </c>
      <c r="W15">
        <v>385.5</v>
      </c>
      <c r="X15">
        <f t="shared" si="11"/>
        <v>0.44251343036870383</v>
      </c>
      <c r="Y15">
        <v>731.35</v>
      </c>
      <c r="Z15">
        <f t="shared" si="12"/>
        <v>0.79812949483264761</v>
      </c>
    </row>
    <row r="16" spans="1:26" x14ac:dyDescent="0.2">
      <c r="A16" s="1">
        <v>42.89</v>
      </c>
      <c r="B16">
        <f t="shared" si="0"/>
        <v>0.1263588957958931</v>
      </c>
      <c r="C16">
        <v>110.3</v>
      </c>
      <c r="D16">
        <f t="shared" si="1"/>
        <v>0.33110197220304383</v>
      </c>
      <c r="E16">
        <v>409.87</v>
      </c>
      <c r="F16">
        <f t="shared" si="2"/>
        <v>0.42957458627231093</v>
      </c>
      <c r="G16">
        <v>649.26</v>
      </c>
      <c r="H16">
        <f t="shared" si="3"/>
        <v>0.58462923776507136</v>
      </c>
      <c r="I16">
        <v>426.78</v>
      </c>
      <c r="J16">
        <f t="shared" si="4"/>
        <v>0.85258804962342927</v>
      </c>
      <c r="K16">
        <v>280.88</v>
      </c>
      <c r="L16">
        <f t="shared" si="5"/>
        <v>0.77565447917817298</v>
      </c>
      <c r="M16">
        <v>134.28</v>
      </c>
      <c r="N16">
        <f t="shared" si="6"/>
        <v>0.11110835298498201</v>
      </c>
      <c r="O16">
        <v>502.91</v>
      </c>
      <c r="P16">
        <f t="shared" si="7"/>
        <v>0.5364544998773294</v>
      </c>
      <c r="Q16">
        <v>997.94</v>
      </c>
      <c r="R16">
        <f t="shared" si="8"/>
        <v>0.52448074335687855</v>
      </c>
      <c r="S16">
        <v>1890.41</v>
      </c>
      <c r="T16">
        <f t="shared" si="9"/>
        <v>0.98869264603588858</v>
      </c>
      <c r="U16">
        <v>1557.64</v>
      </c>
      <c r="V16">
        <f t="shared" si="10"/>
        <v>0.82397812091684786</v>
      </c>
      <c r="W16">
        <v>391.42</v>
      </c>
      <c r="X16">
        <f t="shared" si="11"/>
        <v>0.44930896735387305</v>
      </c>
      <c r="Y16">
        <v>716.98</v>
      </c>
      <c r="Z16">
        <f t="shared" si="12"/>
        <v>0.78244737158010758</v>
      </c>
    </row>
    <row r="17" spans="1:26" x14ac:dyDescent="0.2">
      <c r="A17" s="1">
        <v>41.64</v>
      </c>
      <c r="B17">
        <f t="shared" si="0"/>
        <v>0.12267625136257844</v>
      </c>
      <c r="C17">
        <v>103.59</v>
      </c>
      <c r="D17">
        <f t="shared" si="1"/>
        <v>0.31095968540809893</v>
      </c>
      <c r="E17">
        <v>417.88</v>
      </c>
      <c r="F17">
        <f t="shared" si="2"/>
        <v>0.43796966870342613</v>
      </c>
      <c r="G17">
        <v>663.94</v>
      </c>
      <c r="H17">
        <f t="shared" si="3"/>
        <v>0.59784791319616415</v>
      </c>
      <c r="I17">
        <v>443.62</v>
      </c>
      <c r="J17">
        <f t="shared" si="4"/>
        <v>0.88622969814411567</v>
      </c>
      <c r="K17">
        <v>270.68</v>
      </c>
      <c r="L17">
        <f t="shared" si="5"/>
        <v>0.74748702087705732</v>
      </c>
      <c r="M17">
        <v>146.86000000000001</v>
      </c>
      <c r="N17">
        <f t="shared" si="6"/>
        <v>0.12151752099623517</v>
      </c>
      <c r="O17">
        <v>510.25</v>
      </c>
      <c r="P17">
        <f t="shared" si="7"/>
        <v>0.54428408375734694</v>
      </c>
      <c r="Q17">
        <v>1028.72</v>
      </c>
      <c r="R17">
        <f t="shared" si="8"/>
        <v>0.5406575849310461</v>
      </c>
      <c r="S17">
        <v>1882.97</v>
      </c>
      <c r="T17">
        <f t="shared" si="9"/>
        <v>0.9848014937004127</v>
      </c>
      <c r="U17">
        <v>1659.32</v>
      </c>
      <c r="V17">
        <f t="shared" si="10"/>
        <v>0.877765963637133</v>
      </c>
      <c r="W17">
        <v>406.02</v>
      </c>
      <c r="X17">
        <f t="shared" si="11"/>
        <v>0.46606823086459431</v>
      </c>
      <c r="Y17">
        <v>700.32</v>
      </c>
      <c r="Z17">
        <f t="shared" si="12"/>
        <v>0.7642661486582345</v>
      </c>
    </row>
    <row r="18" spans="1:26" x14ac:dyDescent="0.2">
      <c r="A18" s="1">
        <v>45.76</v>
      </c>
      <c r="B18">
        <f t="shared" si="0"/>
        <v>0.13481424741478359</v>
      </c>
      <c r="C18">
        <v>103.29</v>
      </c>
      <c r="D18">
        <f t="shared" si="1"/>
        <v>0.31005913607300456</v>
      </c>
      <c r="E18">
        <v>448.3</v>
      </c>
      <c r="F18">
        <f t="shared" si="2"/>
        <v>0.46985211658788634</v>
      </c>
      <c r="G18">
        <v>670.58</v>
      </c>
      <c r="H18">
        <f t="shared" si="3"/>
        <v>0.60382693260096354</v>
      </c>
      <c r="I18">
        <v>449.84</v>
      </c>
      <c r="J18">
        <f t="shared" si="4"/>
        <v>0.89865553269273024</v>
      </c>
      <c r="K18">
        <v>262.87</v>
      </c>
      <c r="L18">
        <f t="shared" si="5"/>
        <v>0.72591958466806583</v>
      </c>
      <c r="M18">
        <v>158.1</v>
      </c>
      <c r="N18">
        <f t="shared" si="6"/>
        <v>0.13081792230358694</v>
      </c>
      <c r="O18">
        <v>512.77</v>
      </c>
      <c r="P18">
        <f t="shared" si="7"/>
        <v>0.54697216977609942</v>
      </c>
      <c r="Q18">
        <v>1055.71</v>
      </c>
      <c r="R18">
        <f t="shared" si="8"/>
        <v>0.55484254120417087</v>
      </c>
      <c r="S18">
        <v>1876.32</v>
      </c>
      <c r="T18">
        <f t="shared" si="9"/>
        <v>0.98132351479840796</v>
      </c>
      <c r="U18">
        <v>1685.77</v>
      </c>
      <c r="V18">
        <f t="shared" si="10"/>
        <v>0.89175778543051953</v>
      </c>
      <c r="W18">
        <v>402.05</v>
      </c>
      <c r="X18">
        <f t="shared" si="11"/>
        <v>0.46151108866339136</v>
      </c>
      <c r="Y18">
        <v>685.12</v>
      </c>
      <c r="Z18">
        <f t="shared" si="12"/>
        <v>0.74767823818929857</v>
      </c>
    </row>
    <row r="19" spans="1:26" x14ac:dyDescent="0.2">
      <c r="A19" s="1">
        <v>49.52</v>
      </c>
      <c r="B19">
        <f t="shared" si="0"/>
        <v>0.14589164187019416</v>
      </c>
      <c r="C19">
        <v>104.9</v>
      </c>
      <c r="D19">
        <f t="shared" si="1"/>
        <v>0.31489208417134457</v>
      </c>
      <c r="E19">
        <v>459.96</v>
      </c>
      <c r="F19">
        <f t="shared" si="2"/>
        <v>0.48207267353505284</v>
      </c>
      <c r="G19">
        <v>658.39</v>
      </c>
      <c r="H19">
        <f t="shared" si="3"/>
        <v>0.59285038944667057</v>
      </c>
      <c r="I19">
        <v>464.42</v>
      </c>
      <c r="J19">
        <f t="shared" si="4"/>
        <v>0.92778232814591366</v>
      </c>
      <c r="K19">
        <v>285.79000000000002</v>
      </c>
      <c r="L19">
        <f t="shared" si="5"/>
        <v>0.7892135203799846</v>
      </c>
      <c r="M19">
        <v>159.30000000000001</v>
      </c>
      <c r="N19">
        <f t="shared" si="6"/>
        <v>0.13181084771006579</v>
      </c>
      <c r="O19">
        <v>510.39</v>
      </c>
      <c r="P19">
        <f t="shared" si="7"/>
        <v>0.54443342186949983</v>
      </c>
      <c r="Q19">
        <v>1081.3399999999999</v>
      </c>
      <c r="R19">
        <f t="shared" si="8"/>
        <v>0.56831273124789772</v>
      </c>
      <c r="S19">
        <v>1876.82</v>
      </c>
      <c r="T19">
        <f t="shared" si="9"/>
        <v>0.98158501697149103</v>
      </c>
      <c r="U19">
        <v>1693.29</v>
      </c>
      <c r="V19">
        <f t="shared" si="10"/>
        <v>0.89573580054909296</v>
      </c>
      <c r="W19">
        <v>413.34</v>
      </c>
      <c r="X19">
        <f t="shared" si="11"/>
        <v>0.47447082051517514</v>
      </c>
      <c r="Y19">
        <v>650.29999999999995</v>
      </c>
      <c r="Z19">
        <f t="shared" si="12"/>
        <v>0.70967882749664413</v>
      </c>
    </row>
    <row r="20" spans="1:26" x14ac:dyDescent="0.2">
      <c r="A20" s="1">
        <v>55.16</v>
      </c>
      <c r="B20">
        <f t="shared" si="0"/>
        <v>0.16250773355330994</v>
      </c>
      <c r="C20">
        <v>113.47</v>
      </c>
      <c r="D20">
        <f t="shared" si="1"/>
        <v>0.34061777684387479</v>
      </c>
      <c r="E20">
        <v>467.99</v>
      </c>
      <c r="F20">
        <f t="shared" si="2"/>
        <v>0.49048871747036571</v>
      </c>
      <c r="G20">
        <v>670.29</v>
      </c>
      <c r="H20">
        <f t="shared" si="3"/>
        <v>0.60356580072936827</v>
      </c>
      <c r="I20">
        <v>460.25</v>
      </c>
      <c r="J20">
        <f t="shared" si="4"/>
        <v>0.91945182491959165</v>
      </c>
      <c r="K20">
        <v>301.63</v>
      </c>
      <c r="L20">
        <f t="shared" si="5"/>
        <v>0.8329559262123053</v>
      </c>
      <c r="M20">
        <v>166.8</v>
      </c>
      <c r="N20">
        <f t="shared" si="6"/>
        <v>0.13801663150055854</v>
      </c>
      <c r="O20">
        <v>504.79</v>
      </c>
      <c r="P20">
        <f t="shared" si="7"/>
        <v>0.53845989738338296</v>
      </c>
      <c r="Q20">
        <v>1072.01</v>
      </c>
      <c r="R20">
        <f t="shared" si="8"/>
        <v>0.56340922468886645</v>
      </c>
      <c r="S20">
        <v>1876.13</v>
      </c>
      <c r="T20">
        <f t="shared" si="9"/>
        <v>0.98122414397263646</v>
      </c>
      <c r="U20">
        <v>1720.55</v>
      </c>
      <c r="V20">
        <f t="shared" si="10"/>
        <v>0.91015610535392155</v>
      </c>
      <c r="W20">
        <v>407.82</v>
      </c>
      <c r="X20">
        <f t="shared" si="11"/>
        <v>0.4681344414344093</v>
      </c>
      <c r="Y20">
        <v>648.79</v>
      </c>
      <c r="Z20">
        <f t="shared" si="12"/>
        <v>0.70803094954874324</v>
      </c>
    </row>
    <row r="21" spans="1:26" x14ac:dyDescent="0.2">
      <c r="A21" s="1">
        <v>58.87</v>
      </c>
      <c r="B21">
        <f t="shared" si="0"/>
        <v>0.1734378222313879</v>
      </c>
      <c r="C21">
        <v>104.86</v>
      </c>
      <c r="D21">
        <f t="shared" si="1"/>
        <v>0.31477201092666529</v>
      </c>
      <c r="E21">
        <v>480.58</v>
      </c>
      <c r="F21">
        <f t="shared" si="2"/>
        <v>0.50368398436271788</v>
      </c>
      <c r="G21">
        <v>678.35</v>
      </c>
      <c r="H21">
        <f t="shared" si="3"/>
        <v>0.61082346585025438</v>
      </c>
      <c r="I21">
        <v>466.34</v>
      </c>
      <c r="J21">
        <f t="shared" si="4"/>
        <v>0.93161795553069493</v>
      </c>
      <c r="K21">
        <v>298.5</v>
      </c>
      <c r="L21">
        <f t="shared" si="5"/>
        <v>0.82431238263559037</v>
      </c>
      <c r="M21">
        <v>169.16</v>
      </c>
      <c r="N21">
        <f t="shared" si="6"/>
        <v>0.1399693847999669</v>
      </c>
      <c r="O21">
        <v>488.09</v>
      </c>
      <c r="P21">
        <f t="shared" si="7"/>
        <v>0.52064599400514144</v>
      </c>
      <c r="Q21">
        <v>1103.52</v>
      </c>
      <c r="R21">
        <f t="shared" si="8"/>
        <v>0.57996972754793141</v>
      </c>
      <c r="S21">
        <v>1830.09</v>
      </c>
      <c r="T21">
        <f t="shared" si="9"/>
        <v>0.95714502387514833</v>
      </c>
      <c r="U21">
        <v>1743.43</v>
      </c>
      <c r="V21">
        <f t="shared" si="10"/>
        <v>0.92225942794873017</v>
      </c>
      <c r="W21">
        <v>409.31</v>
      </c>
      <c r="X21">
        <f t="shared" si="11"/>
        <v>0.46984480462831169</v>
      </c>
      <c r="Y21">
        <v>623.24</v>
      </c>
      <c r="Z21">
        <f t="shared" si="12"/>
        <v>0.68014798162234125</v>
      </c>
    </row>
    <row r="22" spans="1:26" x14ac:dyDescent="0.2">
      <c r="A22" s="1">
        <v>63.36</v>
      </c>
      <c r="B22">
        <f t="shared" si="0"/>
        <v>0.18666588103585421</v>
      </c>
      <c r="C22">
        <v>92.26</v>
      </c>
      <c r="D22">
        <f t="shared" si="1"/>
        <v>0.27694893885270017</v>
      </c>
      <c r="E22">
        <v>492.7</v>
      </c>
      <c r="F22">
        <f t="shared" si="2"/>
        <v>0.51638665590642785</v>
      </c>
      <c r="G22">
        <v>684.82</v>
      </c>
      <c r="H22">
        <f t="shared" si="3"/>
        <v>0.6166494079510153</v>
      </c>
      <c r="I22">
        <v>466.82</v>
      </c>
      <c r="J22">
        <f t="shared" si="4"/>
        <v>0.9325768623768903</v>
      </c>
      <c r="K22">
        <v>280.79000000000002</v>
      </c>
      <c r="L22">
        <f t="shared" si="5"/>
        <v>0.77540594278139852</v>
      </c>
      <c r="M22">
        <v>176.13</v>
      </c>
      <c r="N22">
        <f t="shared" si="6"/>
        <v>0.1457366265359315</v>
      </c>
      <c r="O22">
        <v>489.11</v>
      </c>
      <c r="P22">
        <f t="shared" si="7"/>
        <v>0.52173402882225561</v>
      </c>
      <c r="Q22">
        <v>1114.33</v>
      </c>
      <c r="R22">
        <f t="shared" si="8"/>
        <v>0.58565106794483679</v>
      </c>
      <c r="S22">
        <v>1840.58</v>
      </c>
      <c r="T22">
        <f t="shared" si="9"/>
        <v>0.96263133946643098</v>
      </c>
      <c r="U22">
        <v>1738.03</v>
      </c>
      <c r="V22">
        <f t="shared" si="10"/>
        <v>0.91940287453911618</v>
      </c>
      <c r="W22">
        <v>423.06</v>
      </c>
      <c r="X22">
        <f t="shared" si="11"/>
        <v>0.48562835759217599</v>
      </c>
      <c r="Y22">
        <v>594.95000000000005</v>
      </c>
      <c r="Z22">
        <f t="shared" si="12"/>
        <v>0.64927482457193375</v>
      </c>
    </row>
    <row r="23" spans="1:26" x14ac:dyDescent="0.2">
      <c r="A23" s="1">
        <v>64.739999999999995</v>
      </c>
      <c r="B23">
        <f t="shared" si="0"/>
        <v>0.19073152049023362</v>
      </c>
      <c r="C23">
        <v>84.01</v>
      </c>
      <c r="D23">
        <f t="shared" si="1"/>
        <v>0.25218383213760398</v>
      </c>
      <c r="E23">
        <v>504.95</v>
      </c>
      <c r="F23">
        <f t="shared" si="2"/>
        <v>0.52922557722742181</v>
      </c>
      <c r="G23">
        <v>683.45</v>
      </c>
      <c r="H23">
        <f t="shared" si="3"/>
        <v>0.61541578497141058</v>
      </c>
      <c r="I23">
        <v>480.15</v>
      </c>
      <c r="J23">
        <f t="shared" si="4"/>
        <v>0.9592065045847733</v>
      </c>
      <c r="K23">
        <v>289.5</v>
      </c>
      <c r="L23">
        <f t="shared" si="5"/>
        <v>0.79945874295813546</v>
      </c>
      <c r="M23">
        <v>186.01</v>
      </c>
      <c r="N23">
        <f t="shared" si="6"/>
        <v>0.15391171238260726</v>
      </c>
      <c r="O23">
        <v>505.94</v>
      </c>
      <c r="P23">
        <f t="shared" si="7"/>
        <v>0.53968660330463902</v>
      </c>
      <c r="Q23">
        <v>1119.24</v>
      </c>
      <c r="R23">
        <f t="shared" si="8"/>
        <v>0.58823158425832489</v>
      </c>
      <c r="S23">
        <v>1847.76</v>
      </c>
      <c r="T23">
        <f t="shared" si="9"/>
        <v>0.96638651067190373</v>
      </c>
      <c r="U23">
        <v>1737.79</v>
      </c>
      <c r="V23">
        <f t="shared" si="10"/>
        <v>0.91927591660980001</v>
      </c>
      <c r="W23">
        <v>434.39</v>
      </c>
      <c r="X23">
        <f t="shared" si="11"/>
        <v>0.4986340052344001</v>
      </c>
      <c r="Y23">
        <v>570.99</v>
      </c>
      <c r="Z23">
        <f t="shared" si="12"/>
        <v>0.62312703938537428</v>
      </c>
    </row>
    <row r="24" spans="1:26" x14ac:dyDescent="0.2">
      <c r="A24" s="1">
        <v>72.05</v>
      </c>
      <c r="B24">
        <f t="shared" si="0"/>
        <v>0.21226762513625783</v>
      </c>
      <c r="C24">
        <v>75.510000000000005</v>
      </c>
      <c r="D24">
        <f t="shared" si="1"/>
        <v>0.22666826764326242</v>
      </c>
      <c r="E24">
        <v>515.86</v>
      </c>
      <c r="F24">
        <f t="shared" si="2"/>
        <v>0.54066007776718061</v>
      </c>
      <c r="G24">
        <v>687.47</v>
      </c>
      <c r="H24">
        <f t="shared" si="3"/>
        <v>0.61903561298455723</v>
      </c>
      <c r="I24">
        <v>500.57</v>
      </c>
      <c r="J24">
        <f t="shared" si="4"/>
        <v>1</v>
      </c>
      <c r="K24">
        <v>281.52999999999997</v>
      </c>
      <c r="L24">
        <f t="shared" si="5"/>
        <v>0.77744946426598904</v>
      </c>
      <c r="M24">
        <v>196.43</v>
      </c>
      <c r="N24">
        <f t="shared" si="6"/>
        <v>0.16253361466219851</v>
      </c>
      <c r="O24">
        <v>507.23</v>
      </c>
      <c r="P24">
        <f t="shared" si="7"/>
        <v>0.54106264733804821</v>
      </c>
      <c r="Q24">
        <v>1143.73</v>
      </c>
      <c r="R24">
        <f t="shared" si="8"/>
        <v>0.60110263202152703</v>
      </c>
      <c r="S24">
        <v>1869.18</v>
      </c>
      <c r="T24">
        <f t="shared" si="9"/>
        <v>0.9775892637667819</v>
      </c>
      <c r="U24">
        <v>1768.58</v>
      </c>
      <c r="V24">
        <f t="shared" si="10"/>
        <v>0.93556356095832072</v>
      </c>
      <c r="W24">
        <v>437.47</v>
      </c>
      <c r="X24">
        <f t="shared" si="11"/>
        <v>0.5021695210983057</v>
      </c>
      <c r="Y24">
        <v>563.1</v>
      </c>
      <c r="Z24">
        <f t="shared" si="12"/>
        <v>0.61451660428011745</v>
      </c>
    </row>
    <row r="25" spans="1:26" x14ac:dyDescent="0.2">
      <c r="A25" s="1">
        <v>78.36</v>
      </c>
      <c r="B25">
        <f t="shared" si="0"/>
        <v>0.23085761423563031</v>
      </c>
      <c r="C25">
        <v>72.84</v>
      </c>
      <c r="D25">
        <f t="shared" si="1"/>
        <v>0.21865337856092218</v>
      </c>
      <c r="E25">
        <v>529.89</v>
      </c>
      <c r="F25">
        <f t="shared" si="2"/>
        <v>0.55536457296175568</v>
      </c>
      <c r="G25">
        <v>675.33</v>
      </c>
      <c r="H25">
        <f t="shared" si="3"/>
        <v>0.60810409256674625</v>
      </c>
      <c r="I25">
        <v>495.61</v>
      </c>
      <c r="J25">
        <f t="shared" si="4"/>
        <v>0.99009129592264822</v>
      </c>
      <c r="K25">
        <v>266.12</v>
      </c>
      <c r="L25">
        <f t="shared" si="5"/>
        <v>0.73489451010714679</v>
      </c>
      <c r="M25">
        <v>226.27</v>
      </c>
      <c r="N25">
        <f t="shared" si="6"/>
        <v>0.18722435976997229</v>
      </c>
      <c r="O25">
        <v>512.25</v>
      </c>
      <c r="P25">
        <f t="shared" si="7"/>
        <v>0.5464174853595315</v>
      </c>
      <c r="Q25">
        <v>1157.96</v>
      </c>
      <c r="R25">
        <f t="shared" si="8"/>
        <v>0.60858139926000676</v>
      </c>
      <c r="S25">
        <v>1864.47</v>
      </c>
      <c r="T25">
        <f t="shared" si="9"/>
        <v>0.97512591329633957</v>
      </c>
      <c r="U25">
        <v>1802.7</v>
      </c>
      <c r="V25">
        <f t="shared" si="10"/>
        <v>0.95361274657610329</v>
      </c>
      <c r="W25">
        <v>455.04</v>
      </c>
      <c r="X25">
        <f t="shared" si="11"/>
        <v>0.5223380320492218</v>
      </c>
      <c r="Y25">
        <v>551.94000000000005</v>
      </c>
      <c r="Z25">
        <f t="shared" si="12"/>
        <v>0.6023375858042409</v>
      </c>
    </row>
    <row r="26" spans="1:26" x14ac:dyDescent="0.2">
      <c r="A26" s="1">
        <v>77.27</v>
      </c>
      <c r="B26">
        <f t="shared" si="0"/>
        <v>0.22764634828977992</v>
      </c>
      <c r="C26">
        <v>67.09</v>
      </c>
      <c r="D26">
        <f t="shared" si="1"/>
        <v>0.20139284963827936</v>
      </c>
      <c r="E26">
        <v>561.13</v>
      </c>
      <c r="F26">
        <f t="shared" si="2"/>
        <v>0.58810644251831512</v>
      </c>
      <c r="G26">
        <v>645.27</v>
      </c>
      <c r="H26">
        <f t="shared" si="3"/>
        <v>0.58103642339381389</v>
      </c>
      <c r="I26">
        <v>484.55</v>
      </c>
      <c r="J26">
        <f t="shared" si="4"/>
        <v>0.96799648400823068</v>
      </c>
      <c r="K26">
        <v>270.62</v>
      </c>
      <c r="L26">
        <f t="shared" si="5"/>
        <v>0.7473213299458743</v>
      </c>
      <c r="M26">
        <v>253.72</v>
      </c>
      <c r="N26">
        <f t="shared" si="6"/>
        <v>0.2099375284431757</v>
      </c>
      <c r="O26">
        <v>522.09</v>
      </c>
      <c r="P26">
        <f t="shared" si="7"/>
        <v>0.55691382124227973</v>
      </c>
      <c r="Q26">
        <v>1157.04</v>
      </c>
      <c r="R26">
        <f t="shared" si="8"/>
        <v>0.60809788092835515</v>
      </c>
      <c r="S26">
        <v>1871.13</v>
      </c>
      <c r="T26">
        <f t="shared" si="9"/>
        <v>0.97860912224180585</v>
      </c>
      <c r="U26">
        <v>1797.37</v>
      </c>
      <c r="V26">
        <f t="shared" si="10"/>
        <v>0.95079322256253984</v>
      </c>
      <c r="W26">
        <v>451.02</v>
      </c>
      <c r="X26">
        <f t="shared" si="11"/>
        <v>0.51772349510996829</v>
      </c>
      <c r="Y26">
        <v>530.78</v>
      </c>
      <c r="Z26">
        <f t="shared" si="12"/>
        <v>0.57924546833564317</v>
      </c>
    </row>
    <row r="27" spans="1:26" x14ac:dyDescent="0.2">
      <c r="A27" s="1">
        <v>77.16</v>
      </c>
      <c r="B27">
        <f t="shared" si="0"/>
        <v>0.22732227557964821</v>
      </c>
      <c r="C27">
        <v>58.28</v>
      </c>
      <c r="D27">
        <f t="shared" si="1"/>
        <v>0.1749467174976736</v>
      </c>
      <c r="E27">
        <v>575.02</v>
      </c>
      <c r="F27">
        <f t="shared" si="2"/>
        <v>0.60266420718350744</v>
      </c>
      <c r="G27">
        <v>652.88</v>
      </c>
      <c r="H27">
        <f t="shared" si="3"/>
        <v>0.58788888388636262</v>
      </c>
      <c r="I27">
        <v>467.18</v>
      </c>
      <c r="J27">
        <f t="shared" si="4"/>
        <v>0.93329604251153686</v>
      </c>
      <c r="K27">
        <v>292.95999999999998</v>
      </c>
      <c r="L27">
        <f t="shared" si="5"/>
        <v>0.80901358665635692</v>
      </c>
      <c r="M27">
        <v>277.56</v>
      </c>
      <c r="N27">
        <f t="shared" si="6"/>
        <v>0.22966364651855531</v>
      </c>
      <c r="O27">
        <v>508.9</v>
      </c>
      <c r="P27">
        <f t="shared" si="7"/>
        <v>0.5428440376758723</v>
      </c>
      <c r="Q27">
        <v>1142.8499999999999</v>
      </c>
      <c r="R27">
        <f t="shared" si="8"/>
        <v>0.60064013622603429</v>
      </c>
      <c r="S27">
        <v>1845.11</v>
      </c>
      <c r="T27">
        <f t="shared" si="9"/>
        <v>0.96500054915456346</v>
      </c>
      <c r="U27">
        <v>1795.01</v>
      </c>
      <c r="V27">
        <f t="shared" si="10"/>
        <v>0.94954480292426424</v>
      </c>
      <c r="W27">
        <v>481.21</v>
      </c>
      <c r="X27">
        <f t="shared" si="11"/>
        <v>0.55237843794480923</v>
      </c>
      <c r="Y27">
        <v>524.88</v>
      </c>
      <c r="Z27">
        <f t="shared" si="12"/>
        <v>0.57280673992993791</v>
      </c>
    </row>
    <row r="28" spans="1:26" x14ac:dyDescent="0.2">
      <c r="A28" s="1">
        <v>85.9</v>
      </c>
      <c r="B28">
        <f t="shared" si="0"/>
        <v>0.25307132545738448</v>
      </c>
      <c r="C28">
        <v>63.05</v>
      </c>
      <c r="D28">
        <f t="shared" si="1"/>
        <v>0.18926545192567465</v>
      </c>
      <c r="E28">
        <v>571.47</v>
      </c>
      <c r="F28">
        <f t="shared" si="2"/>
        <v>0.59894354018844398</v>
      </c>
      <c r="G28">
        <v>646.42999999999995</v>
      </c>
      <c r="H28">
        <f t="shared" si="3"/>
        <v>0.58208095088019451</v>
      </c>
      <c r="I28">
        <v>452.21</v>
      </c>
      <c r="J28">
        <f t="shared" si="4"/>
        <v>0.90339013524581979</v>
      </c>
      <c r="K28">
        <v>286</v>
      </c>
      <c r="L28">
        <f t="shared" si="5"/>
        <v>0.7897934386391251</v>
      </c>
      <c r="M28">
        <v>299.38</v>
      </c>
      <c r="N28">
        <f t="shared" si="6"/>
        <v>0.24771834015969552</v>
      </c>
      <c r="O28">
        <v>501.39</v>
      </c>
      <c r="P28">
        <f t="shared" si="7"/>
        <v>0.5348331146596691</v>
      </c>
      <c r="Q28">
        <v>1127.0999999999999</v>
      </c>
      <c r="R28">
        <f t="shared" si="8"/>
        <v>0.59236251261352169</v>
      </c>
      <c r="S28">
        <v>1836.46</v>
      </c>
      <c r="T28">
        <f t="shared" si="9"/>
        <v>0.96047656156022665</v>
      </c>
      <c r="U28">
        <v>1832.25</v>
      </c>
      <c r="V28">
        <f t="shared" si="10"/>
        <v>0.96924444162315704</v>
      </c>
      <c r="W28">
        <v>485.96</v>
      </c>
      <c r="X28">
        <f t="shared" si="11"/>
        <v>0.55783093805959871</v>
      </c>
      <c r="Y28">
        <v>547.70000000000005</v>
      </c>
      <c r="Z28">
        <f t="shared" si="12"/>
        <v>0.59771043183132722</v>
      </c>
    </row>
    <row r="29" spans="1:26" x14ac:dyDescent="0.2">
      <c r="A29" s="1">
        <v>92.12</v>
      </c>
      <c r="B29">
        <f t="shared" si="0"/>
        <v>0.2713961641575583</v>
      </c>
      <c r="C29">
        <v>56.3</v>
      </c>
      <c r="D29">
        <f t="shared" si="1"/>
        <v>0.16900309188605048</v>
      </c>
      <c r="E29">
        <v>557.42999999999995</v>
      </c>
      <c r="F29">
        <f t="shared" si="2"/>
        <v>0.58422856424176994</v>
      </c>
      <c r="G29">
        <v>672.57</v>
      </c>
      <c r="H29">
        <f t="shared" si="3"/>
        <v>0.6056188375129441</v>
      </c>
      <c r="I29">
        <v>440.89</v>
      </c>
      <c r="J29">
        <f t="shared" si="4"/>
        <v>0.88077591545637968</v>
      </c>
      <c r="K29">
        <v>281.74</v>
      </c>
      <c r="L29">
        <f t="shared" si="5"/>
        <v>0.77802938252512976</v>
      </c>
      <c r="M29">
        <v>329.58</v>
      </c>
      <c r="N29">
        <f t="shared" si="6"/>
        <v>0.27270696288941293</v>
      </c>
      <c r="O29">
        <v>506.31</v>
      </c>
      <c r="P29">
        <f t="shared" si="7"/>
        <v>0.54008128260104327</v>
      </c>
      <c r="Q29">
        <v>1123.3499999999999</v>
      </c>
      <c r="R29">
        <f t="shared" si="8"/>
        <v>0.59039164984863768</v>
      </c>
      <c r="S29">
        <v>1820.22</v>
      </c>
      <c r="T29">
        <f t="shared" si="9"/>
        <v>0.95198297097848883</v>
      </c>
      <c r="U29">
        <v>1835.71</v>
      </c>
      <c r="V29">
        <f t="shared" si="10"/>
        <v>0.97107475177079861</v>
      </c>
      <c r="W29">
        <v>479.91</v>
      </c>
      <c r="X29">
        <f t="shared" si="11"/>
        <v>0.5508861747554985</v>
      </c>
      <c r="Y29">
        <v>567.38</v>
      </c>
      <c r="Z29">
        <f t="shared" si="12"/>
        <v>0.61918741064900196</v>
      </c>
    </row>
    <row r="30" spans="1:26" x14ac:dyDescent="0.2">
      <c r="A30" s="1">
        <v>97.45</v>
      </c>
      <c r="B30">
        <f t="shared" si="0"/>
        <v>0.28709896002121205</v>
      </c>
      <c r="C30">
        <v>53.63</v>
      </c>
      <c r="D30">
        <f t="shared" si="1"/>
        <v>0.16098820280371026</v>
      </c>
      <c r="E30">
        <v>556.97</v>
      </c>
      <c r="F30">
        <f t="shared" si="2"/>
        <v>0.58374644964522659</v>
      </c>
      <c r="G30">
        <v>711.01</v>
      </c>
      <c r="H30">
        <f t="shared" si="3"/>
        <v>0.64023231732024677</v>
      </c>
      <c r="I30">
        <v>445.91</v>
      </c>
      <c r="J30">
        <f t="shared" si="4"/>
        <v>0.89080448288950598</v>
      </c>
      <c r="K30">
        <v>256.61</v>
      </c>
      <c r="L30">
        <f t="shared" si="5"/>
        <v>0.70863249751463608</v>
      </c>
      <c r="M30">
        <v>343.78</v>
      </c>
      <c r="N30">
        <f t="shared" si="6"/>
        <v>0.2844565801994125</v>
      </c>
      <c r="O30">
        <v>509.43</v>
      </c>
      <c r="P30">
        <f t="shared" si="7"/>
        <v>0.54340938910045122</v>
      </c>
      <c r="Q30">
        <v>1132.56</v>
      </c>
      <c r="R30">
        <f t="shared" si="8"/>
        <v>0.59523208879919265</v>
      </c>
      <c r="S30">
        <v>1847.56</v>
      </c>
      <c r="T30">
        <f t="shared" si="9"/>
        <v>0.96628190980267048</v>
      </c>
      <c r="U30">
        <v>1886.94</v>
      </c>
      <c r="V30">
        <f t="shared" si="10"/>
        <v>0.99817497976607994</v>
      </c>
      <c r="W30">
        <v>472.71</v>
      </c>
      <c r="X30">
        <f t="shared" si="11"/>
        <v>0.54262133247623856</v>
      </c>
      <c r="Y30">
        <v>550.29999999999995</v>
      </c>
      <c r="Z30">
        <f t="shared" si="12"/>
        <v>0.60054783756943453</v>
      </c>
    </row>
    <row r="31" spans="1:26" x14ac:dyDescent="0.2">
      <c r="A31" s="1">
        <v>100.99</v>
      </c>
      <c r="B31">
        <f t="shared" si="0"/>
        <v>0.29752820905635918</v>
      </c>
      <c r="C31">
        <v>53.77</v>
      </c>
      <c r="D31">
        <f t="shared" si="1"/>
        <v>0.16140845916008767</v>
      </c>
      <c r="E31">
        <v>584</v>
      </c>
      <c r="F31">
        <f t="shared" si="2"/>
        <v>0.61207592256820353</v>
      </c>
      <c r="G31">
        <v>742.42</v>
      </c>
      <c r="H31">
        <f t="shared" si="3"/>
        <v>0.66851560037819102</v>
      </c>
      <c r="I31">
        <v>421.12</v>
      </c>
      <c r="J31">
        <f t="shared" si="4"/>
        <v>0.84128093972870932</v>
      </c>
      <c r="K31">
        <v>242.2</v>
      </c>
      <c r="L31">
        <f t="shared" si="5"/>
        <v>0.66883905887551087</v>
      </c>
      <c r="M31">
        <v>356.11</v>
      </c>
      <c r="N31">
        <f t="shared" si="6"/>
        <v>0.29465888875098262</v>
      </c>
      <c r="O31">
        <v>499.47</v>
      </c>
      <c r="P31">
        <f t="shared" si="7"/>
        <v>0.53278504912157187</v>
      </c>
      <c r="Q31">
        <v>1141.8</v>
      </c>
      <c r="R31">
        <f t="shared" si="8"/>
        <v>0.60008829465186675</v>
      </c>
      <c r="S31">
        <v>1826.17</v>
      </c>
      <c r="T31">
        <f t="shared" si="9"/>
        <v>0.95509484683817725</v>
      </c>
      <c r="U31">
        <v>1882.31</v>
      </c>
      <c r="V31">
        <f t="shared" si="10"/>
        <v>0.99572574971302208</v>
      </c>
      <c r="W31">
        <v>502.06</v>
      </c>
      <c r="X31">
        <f t="shared" si="11"/>
        <v>0.57631204371183253</v>
      </c>
      <c r="Y31">
        <v>530.62</v>
      </c>
      <c r="Z31">
        <f t="shared" si="12"/>
        <v>0.57907085875175968</v>
      </c>
    </row>
    <row r="32" spans="1:26" x14ac:dyDescent="0.2">
      <c r="A32" s="1">
        <v>113.63</v>
      </c>
      <c r="B32">
        <f t="shared" si="0"/>
        <v>0.33476710956603717</v>
      </c>
      <c r="C32">
        <v>50.78</v>
      </c>
      <c r="D32">
        <f t="shared" si="1"/>
        <v>0.15243298412031339</v>
      </c>
      <c r="E32">
        <v>606.5</v>
      </c>
      <c r="F32">
        <f t="shared" si="2"/>
        <v>0.63565761479043736</v>
      </c>
      <c r="G32">
        <v>770.3</v>
      </c>
      <c r="H32">
        <f t="shared" si="3"/>
        <v>0.69362027824051142</v>
      </c>
      <c r="I32">
        <v>411.88</v>
      </c>
      <c r="J32">
        <f t="shared" si="4"/>
        <v>0.82282198293944908</v>
      </c>
      <c r="K32">
        <v>231.02</v>
      </c>
      <c r="L32">
        <f t="shared" si="5"/>
        <v>0.63796531536507239</v>
      </c>
      <c r="M32">
        <v>384.49</v>
      </c>
      <c r="N32">
        <f t="shared" si="6"/>
        <v>0.31814157461420711</v>
      </c>
      <c r="O32">
        <v>497.08</v>
      </c>
      <c r="P32">
        <f t="shared" si="7"/>
        <v>0.53023563420696129</v>
      </c>
      <c r="Q32">
        <v>1200.3800000000001</v>
      </c>
      <c r="R32">
        <f t="shared" si="8"/>
        <v>0.63087579885637413</v>
      </c>
      <c r="S32">
        <v>1807.3</v>
      </c>
      <c r="T32">
        <f t="shared" si="9"/>
        <v>0.94522575482602256</v>
      </c>
      <c r="U32">
        <v>1885.8</v>
      </c>
      <c r="V32">
        <f t="shared" si="10"/>
        <v>0.99757192960182817</v>
      </c>
      <c r="W32">
        <v>498.06</v>
      </c>
      <c r="X32">
        <f t="shared" si="11"/>
        <v>0.57172046466779924</v>
      </c>
      <c r="Y32">
        <v>521.71</v>
      </c>
      <c r="Z32">
        <f t="shared" si="12"/>
        <v>0.56934728754924535</v>
      </c>
    </row>
    <row r="33" spans="1:26" x14ac:dyDescent="0.2">
      <c r="A33" s="1">
        <v>117.25</v>
      </c>
      <c r="B33">
        <f t="shared" si="0"/>
        <v>0.34543204784491649</v>
      </c>
      <c r="C33">
        <v>50.65</v>
      </c>
      <c r="D33">
        <f t="shared" si="1"/>
        <v>0.15204274607510582</v>
      </c>
      <c r="E33">
        <v>615.98</v>
      </c>
      <c r="F33">
        <f t="shared" si="2"/>
        <v>0.64559336778007193</v>
      </c>
      <c r="G33">
        <v>760.6</v>
      </c>
      <c r="H33">
        <f t="shared" si="3"/>
        <v>0.68488586736301837</v>
      </c>
      <c r="I33">
        <v>404.9</v>
      </c>
      <c r="J33">
        <f t="shared" si="4"/>
        <v>0.80887787921769183</v>
      </c>
      <c r="K33">
        <v>239.73</v>
      </c>
      <c r="L33">
        <f t="shared" si="5"/>
        <v>0.66201811554180934</v>
      </c>
      <c r="M33">
        <v>397.27</v>
      </c>
      <c r="N33">
        <f t="shared" si="6"/>
        <v>0.32871623019320673</v>
      </c>
      <c r="O33">
        <v>491.59</v>
      </c>
      <c r="P33">
        <f t="shared" si="7"/>
        <v>0.52437944680896453</v>
      </c>
      <c r="Q33">
        <v>1255.28</v>
      </c>
      <c r="R33">
        <f t="shared" si="8"/>
        <v>0.65972922973427517</v>
      </c>
      <c r="S33">
        <v>1806.92</v>
      </c>
      <c r="T33">
        <f t="shared" si="9"/>
        <v>0.94502701317447957</v>
      </c>
      <c r="U33">
        <v>1890.39</v>
      </c>
      <c r="V33">
        <f t="shared" si="10"/>
        <v>1</v>
      </c>
      <c r="W33">
        <v>482.4</v>
      </c>
      <c r="X33">
        <f t="shared" si="11"/>
        <v>0.55374443271040907</v>
      </c>
      <c r="Y33">
        <v>510.29</v>
      </c>
      <c r="Z33">
        <f t="shared" si="12"/>
        <v>0.55688452849955805</v>
      </c>
    </row>
    <row r="34" spans="1:26" x14ac:dyDescent="0.2">
      <c r="A34" s="1">
        <v>129.03</v>
      </c>
      <c r="B34">
        <f t="shared" si="0"/>
        <v>0.38013728898447396</v>
      </c>
      <c r="C34">
        <v>48.39</v>
      </c>
      <c r="D34">
        <f t="shared" si="1"/>
        <v>0.14525860775072794</v>
      </c>
      <c r="E34">
        <v>624.63</v>
      </c>
      <c r="F34">
        <f t="shared" si="2"/>
        <v>0.65465921834550844</v>
      </c>
      <c r="G34">
        <v>759.2</v>
      </c>
      <c r="H34">
        <f t="shared" si="3"/>
        <v>0.68362523074152459</v>
      </c>
      <c r="I34">
        <v>384.17</v>
      </c>
      <c r="J34">
        <f t="shared" si="4"/>
        <v>0.76746508979763073</v>
      </c>
      <c r="K34">
        <v>222.4</v>
      </c>
      <c r="L34">
        <f t="shared" si="5"/>
        <v>0.61416105158510992</v>
      </c>
      <c r="M34">
        <v>402.2</v>
      </c>
      <c r="N34">
        <f t="shared" si="6"/>
        <v>0.33279549873815728</v>
      </c>
      <c r="O34">
        <v>514.16999999999996</v>
      </c>
      <c r="P34">
        <f t="shared" si="7"/>
        <v>0.54846555089762872</v>
      </c>
      <c r="Q34">
        <v>1310.6099999999999</v>
      </c>
      <c r="R34">
        <f t="shared" si="8"/>
        <v>0.68880865287588289</v>
      </c>
      <c r="S34">
        <v>1776.91</v>
      </c>
      <c r="T34">
        <f t="shared" si="9"/>
        <v>0.92933165274603435</v>
      </c>
      <c r="U34">
        <v>1880.8</v>
      </c>
      <c r="V34">
        <f t="shared" si="10"/>
        <v>0.99492697274107456</v>
      </c>
      <c r="W34">
        <v>502.64</v>
      </c>
      <c r="X34">
        <f t="shared" si="11"/>
        <v>0.57697782267321729</v>
      </c>
      <c r="Y34">
        <v>482.74</v>
      </c>
      <c r="Z34">
        <f t="shared" si="12"/>
        <v>0.52681894077461178</v>
      </c>
    </row>
    <row r="35" spans="1:26" x14ac:dyDescent="0.2">
      <c r="A35" s="1">
        <v>135.77000000000001</v>
      </c>
      <c r="B35">
        <f t="shared" si="0"/>
        <v>0.3999941077689067</v>
      </c>
      <c r="C35">
        <v>42.63</v>
      </c>
      <c r="D35">
        <f t="shared" si="1"/>
        <v>0.12796806051691534</v>
      </c>
      <c r="E35">
        <v>635.54</v>
      </c>
      <c r="F35">
        <f t="shared" si="2"/>
        <v>0.66609371888526714</v>
      </c>
      <c r="G35">
        <v>761.17</v>
      </c>
      <c r="H35">
        <f t="shared" si="3"/>
        <v>0.68539912655891222</v>
      </c>
      <c r="I35">
        <v>361.67</v>
      </c>
      <c r="J35">
        <f t="shared" si="4"/>
        <v>0.72251633138222426</v>
      </c>
      <c r="K35">
        <v>199.71</v>
      </c>
      <c r="L35">
        <f t="shared" si="5"/>
        <v>0.55150226444272621</v>
      </c>
      <c r="M35">
        <v>401.46</v>
      </c>
      <c r="N35">
        <f t="shared" si="6"/>
        <v>0.33218319473749536</v>
      </c>
      <c r="O35">
        <v>511.5</v>
      </c>
      <c r="P35">
        <f t="shared" si="7"/>
        <v>0.54561745975871223</v>
      </c>
      <c r="Q35">
        <v>1349.37</v>
      </c>
      <c r="R35">
        <f t="shared" si="8"/>
        <v>0.70917949041372341</v>
      </c>
      <c r="S35">
        <v>1702.24</v>
      </c>
      <c r="T35">
        <f t="shared" si="9"/>
        <v>0.89027891821781036</v>
      </c>
      <c r="U35">
        <v>1863.45</v>
      </c>
      <c r="V35">
        <f t="shared" si="10"/>
        <v>0.98574897243425952</v>
      </c>
      <c r="W35">
        <v>521.76</v>
      </c>
      <c r="X35">
        <f t="shared" si="11"/>
        <v>0.59892557050369621</v>
      </c>
      <c r="Y35">
        <v>447.98</v>
      </c>
      <c r="Z35">
        <f t="shared" si="12"/>
        <v>0.48888500867591372</v>
      </c>
    </row>
    <row r="36" spans="1:26" x14ac:dyDescent="0.2">
      <c r="A36" s="1">
        <v>136.4</v>
      </c>
      <c r="B36">
        <f t="shared" si="0"/>
        <v>0.40185016056329731</v>
      </c>
      <c r="C36">
        <v>46.49</v>
      </c>
      <c r="D36">
        <f t="shared" si="1"/>
        <v>0.13955512862846337</v>
      </c>
      <c r="E36">
        <v>649.24</v>
      </c>
      <c r="F36">
        <f t="shared" si="2"/>
        <v>0.68045234926058296</v>
      </c>
      <c r="G36">
        <v>744.19</v>
      </c>
      <c r="H36">
        <f t="shared" si="3"/>
        <v>0.67010940524965112</v>
      </c>
      <c r="I36">
        <v>340.65</v>
      </c>
      <c r="J36">
        <f t="shared" si="4"/>
        <v>0.68052420240925338</v>
      </c>
      <c r="K36">
        <v>184.61</v>
      </c>
      <c r="L36">
        <f t="shared" si="5"/>
        <v>0.50980338009499615</v>
      </c>
      <c r="M36">
        <v>395.86</v>
      </c>
      <c r="N36">
        <f t="shared" si="6"/>
        <v>0.32754954284059412</v>
      </c>
      <c r="O36">
        <v>511.81</v>
      </c>
      <c r="P36">
        <f t="shared" si="7"/>
        <v>0.54594813700705092</v>
      </c>
      <c r="Q36">
        <v>1399.02</v>
      </c>
      <c r="R36">
        <f t="shared" si="8"/>
        <v>0.73527371342078707</v>
      </c>
      <c r="S36">
        <v>1652.03</v>
      </c>
      <c r="T36">
        <f t="shared" si="9"/>
        <v>0.86401886999680966</v>
      </c>
      <c r="U36">
        <v>1849.84</v>
      </c>
      <c r="V36">
        <f t="shared" si="10"/>
        <v>0.97854939985928824</v>
      </c>
      <c r="W36">
        <v>550.53</v>
      </c>
      <c r="X36">
        <f t="shared" si="11"/>
        <v>0.63195050277790532</v>
      </c>
      <c r="Y36">
        <v>437.54</v>
      </c>
      <c r="Z36">
        <f t="shared" si="12"/>
        <v>0.47749173332751299</v>
      </c>
    </row>
    <row r="37" spans="1:26" x14ac:dyDescent="0.2">
      <c r="A37" s="1">
        <v>142.97999999999999</v>
      </c>
      <c r="B37">
        <f t="shared" si="0"/>
        <v>0.42123560086026568</v>
      </c>
      <c r="C37">
        <v>51.58</v>
      </c>
      <c r="D37">
        <f t="shared" si="1"/>
        <v>0.15483444901389848</v>
      </c>
      <c r="E37">
        <v>650</v>
      </c>
      <c r="F37">
        <f t="shared" si="2"/>
        <v>0.68124888642008952</v>
      </c>
      <c r="G37">
        <v>770.99</v>
      </c>
      <c r="H37">
        <f t="shared" si="3"/>
        <v>0.69424159200396207</v>
      </c>
      <c r="I37">
        <v>320.27999999999997</v>
      </c>
      <c r="J37">
        <f t="shared" si="4"/>
        <v>0.63983059312383883</v>
      </c>
      <c r="K37">
        <v>194.11</v>
      </c>
      <c r="L37">
        <f t="shared" si="5"/>
        <v>0.53603777753230974</v>
      </c>
      <c r="M37">
        <v>377.32</v>
      </c>
      <c r="N37">
        <f t="shared" si="6"/>
        <v>0.31220884531049603</v>
      </c>
      <c r="O37">
        <v>526.86</v>
      </c>
      <c r="P37">
        <f t="shared" si="7"/>
        <v>0.56200198406349</v>
      </c>
      <c r="Q37">
        <v>1447.95</v>
      </c>
      <c r="R37">
        <f t="shared" si="8"/>
        <v>0.76098953077699294</v>
      </c>
      <c r="S37">
        <v>1629.47</v>
      </c>
      <c r="T37">
        <f t="shared" si="9"/>
        <v>0.85221989194730208</v>
      </c>
      <c r="U37">
        <v>1838.9</v>
      </c>
      <c r="V37">
        <f t="shared" si="10"/>
        <v>0.97276223424795938</v>
      </c>
      <c r="W37">
        <v>566.77</v>
      </c>
      <c r="X37">
        <f t="shared" si="11"/>
        <v>0.65059231369668025</v>
      </c>
      <c r="Y37">
        <v>411.76</v>
      </c>
      <c r="Z37">
        <f t="shared" si="12"/>
        <v>0.44935776412427836</v>
      </c>
    </row>
    <row r="38" spans="1:26" x14ac:dyDescent="0.2">
      <c r="A38" s="1">
        <v>142.4</v>
      </c>
      <c r="B38">
        <f t="shared" si="0"/>
        <v>0.41952685384320776</v>
      </c>
      <c r="C38">
        <v>47.6</v>
      </c>
      <c r="D38">
        <f t="shared" si="1"/>
        <v>0.14288716116831268</v>
      </c>
      <c r="E38">
        <v>661.68</v>
      </c>
      <c r="F38">
        <f t="shared" si="2"/>
        <v>0.69349040487145353</v>
      </c>
      <c r="G38">
        <v>782.76</v>
      </c>
      <c r="H38">
        <f t="shared" si="3"/>
        <v>0.70483994417180673</v>
      </c>
      <c r="I38">
        <v>310.69</v>
      </c>
      <c r="J38">
        <f t="shared" si="4"/>
        <v>0.62067243342589451</v>
      </c>
      <c r="K38">
        <v>175.26</v>
      </c>
      <c r="L38">
        <f t="shared" si="5"/>
        <v>0.48398320998564009</v>
      </c>
      <c r="M38">
        <v>344.75</v>
      </c>
      <c r="N38">
        <f t="shared" si="6"/>
        <v>0.2852591949029829</v>
      </c>
      <c r="O38">
        <v>535.80999999999995</v>
      </c>
      <c r="P38">
        <f t="shared" si="7"/>
        <v>0.57154895623326607</v>
      </c>
      <c r="Q38">
        <v>1447.23</v>
      </c>
      <c r="R38">
        <f t="shared" si="8"/>
        <v>0.76061112512613527</v>
      </c>
      <c r="S38">
        <v>1586.57</v>
      </c>
      <c r="T38">
        <f t="shared" si="9"/>
        <v>0.82978300549677564</v>
      </c>
      <c r="U38">
        <v>1806.84</v>
      </c>
      <c r="V38">
        <f t="shared" si="10"/>
        <v>0.9558027708568072</v>
      </c>
      <c r="W38">
        <v>553.71</v>
      </c>
      <c r="X38">
        <f t="shared" si="11"/>
        <v>0.63560080811791186</v>
      </c>
      <c r="Y38">
        <v>381.23</v>
      </c>
      <c r="Z38">
        <f t="shared" si="12"/>
        <v>0.41604007289950129</v>
      </c>
    </row>
    <row r="39" spans="1:26" x14ac:dyDescent="0.2">
      <c r="A39" s="1">
        <v>142.99</v>
      </c>
      <c r="B39">
        <f t="shared" si="0"/>
        <v>0.42126506201573227</v>
      </c>
      <c r="C39">
        <v>44.44</v>
      </c>
      <c r="D39">
        <f t="shared" si="1"/>
        <v>0.13340137483865158</v>
      </c>
      <c r="E39">
        <v>674.45</v>
      </c>
      <c r="F39">
        <f t="shared" si="2"/>
        <v>0.70687432530158367</v>
      </c>
      <c r="G39">
        <v>805.2</v>
      </c>
      <c r="H39">
        <f t="shared" si="3"/>
        <v>0.725046148304894</v>
      </c>
      <c r="I39">
        <v>293.44</v>
      </c>
      <c r="J39">
        <f t="shared" si="4"/>
        <v>0.5862117186407495</v>
      </c>
      <c r="K39">
        <v>164.58</v>
      </c>
      <c r="L39">
        <f t="shared" si="5"/>
        <v>0.45449022423506025</v>
      </c>
      <c r="M39">
        <v>330.34</v>
      </c>
      <c r="N39">
        <f t="shared" si="6"/>
        <v>0.2733358156468495</v>
      </c>
      <c r="O39">
        <v>526.51</v>
      </c>
      <c r="P39">
        <f t="shared" si="7"/>
        <v>0.56162863878310765</v>
      </c>
      <c r="Q39">
        <v>1450.53</v>
      </c>
      <c r="R39">
        <f t="shared" si="8"/>
        <v>0.76234548435923311</v>
      </c>
      <c r="S39">
        <v>1567.99</v>
      </c>
      <c r="T39">
        <f t="shared" si="9"/>
        <v>0.82006558474500924</v>
      </c>
      <c r="U39">
        <v>1764.95</v>
      </c>
      <c r="V39">
        <f t="shared" si="10"/>
        <v>0.93364332227741365</v>
      </c>
      <c r="W39">
        <v>529.54999999999995</v>
      </c>
      <c r="X39">
        <f t="shared" si="11"/>
        <v>0.60786767069195091</v>
      </c>
      <c r="Y39">
        <v>363.27</v>
      </c>
      <c r="Z39">
        <f t="shared" si="12"/>
        <v>0.39644014710857439</v>
      </c>
    </row>
    <row r="40" spans="1:26" x14ac:dyDescent="0.2">
      <c r="A40" s="1">
        <v>140.4</v>
      </c>
      <c r="B40">
        <f t="shared" si="0"/>
        <v>0.41363462274990426</v>
      </c>
      <c r="C40">
        <v>44.79</v>
      </c>
      <c r="D40">
        <f t="shared" si="1"/>
        <v>0.13445201572959506</v>
      </c>
      <c r="E40">
        <v>692.35</v>
      </c>
      <c r="F40">
        <f t="shared" si="2"/>
        <v>0.72563487155838302</v>
      </c>
      <c r="G40">
        <v>827.63</v>
      </c>
      <c r="H40">
        <f t="shared" si="3"/>
        <v>0.7452433478906848</v>
      </c>
      <c r="I40">
        <v>276.44</v>
      </c>
      <c r="J40">
        <f t="shared" si="4"/>
        <v>0.55225043450466471</v>
      </c>
      <c r="K40">
        <v>147.55000000000001</v>
      </c>
      <c r="L40">
        <f t="shared" si="5"/>
        <v>0.40746161493427596</v>
      </c>
      <c r="M40">
        <v>331.16</v>
      </c>
      <c r="N40">
        <f t="shared" si="6"/>
        <v>0.27401431467461013</v>
      </c>
      <c r="O40">
        <v>526.21</v>
      </c>
      <c r="P40">
        <f t="shared" si="7"/>
        <v>0.56130862854278007</v>
      </c>
      <c r="Q40">
        <v>1448.44</v>
      </c>
      <c r="R40">
        <f t="shared" si="8"/>
        <v>0.76124705684493776</v>
      </c>
      <c r="S40">
        <v>1552.81</v>
      </c>
      <c r="T40">
        <f t="shared" si="9"/>
        <v>0.81212637877020755</v>
      </c>
      <c r="U40">
        <v>1712.71</v>
      </c>
      <c r="V40">
        <f t="shared" si="10"/>
        <v>0.90600881299626002</v>
      </c>
      <c r="W40">
        <v>510.61</v>
      </c>
      <c r="X40">
        <f t="shared" si="11"/>
        <v>0.58612654391845365</v>
      </c>
      <c r="Y40">
        <v>346.86</v>
      </c>
      <c r="Z40">
        <f t="shared" si="12"/>
        <v>0.37853175166151931</v>
      </c>
    </row>
    <row r="41" spans="1:26" x14ac:dyDescent="0.2">
      <c r="A41" s="1">
        <v>138.04</v>
      </c>
      <c r="B41">
        <f t="shared" si="0"/>
        <v>0.40668179005980609</v>
      </c>
      <c r="C41">
        <v>42.19</v>
      </c>
      <c r="D41">
        <f t="shared" si="1"/>
        <v>0.12664725482544351</v>
      </c>
      <c r="E41">
        <v>726.34</v>
      </c>
      <c r="F41">
        <f t="shared" si="2"/>
        <v>0.76125894794210436</v>
      </c>
      <c r="G41">
        <v>867.74</v>
      </c>
      <c r="H41">
        <f t="shared" si="3"/>
        <v>0.78136058709648382</v>
      </c>
      <c r="I41">
        <v>266.52</v>
      </c>
      <c r="J41">
        <f t="shared" si="4"/>
        <v>0.53243302634996104</v>
      </c>
      <c r="K41">
        <v>155.56</v>
      </c>
      <c r="L41">
        <f t="shared" si="5"/>
        <v>0.42958135424721089</v>
      </c>
      <c r="M41">
        <v>322.62</v>
      </c>
      <c r="N41">
        <f t="shared" si="6"/>
        <v>0.26694799553183568</v>
      </c>
      <c r="O41">
        <v>531.46</v>
      </c>
      <c r="P41">
        <f t="shared" si="7"/>
        <v>0.5669088077485146</v>
      </c>
      <c r="Q41">
        <v>1466.09</v>
      </c>
      <c r="R41">
        <f t="shared" si="8"/>
        <v>0.77052325092499152</v>
      </c>
      <c r="S41">
        <v>1523.26</v>
      </c>
      <c r="T41">
        <f t="shared" si="9"/>
        <v>0.79667160034099882</v>
      </c>
      <c r="U41">
        <v>1657.13</v>
      </c>
      <c r="V41">
        <f t="shared" si="10"/>
        <v>0.87660747253212301</v>
      </c>
      <c r="W41">
        <v>484.36</v>
      </c>
      <c r="X41">
        <f t="shared" si="11"/>
        <v>0.55599430644198544</v>
      </c>
      <c r="Y41">
        <v>336.38</v>
      </c>
      <c r="Z41">
        <f t="shared" si="12"/>
        <v>0.36709482391714771</v>
      </c>
    </row>
    <row r="42" spans="1:26" x14ac:dyDescent="0.2">
      <c r="A42" s="1">
        <v>141.09</v>
      </c>
      <c r="B42">
        <f t="shared" si="0"/>
        <v>0.41566744247709397</v>
      </c>
      <c r="C42">
        <v>36.56</v>
      </c>
      <c r="D42">
        <f t="shared" si="1"/>
        <v>0.10974694563683848</v>
      </c>
      <c r="E42">
        <v>729.81</v>
      </c>
      <c r="F42">
        <f t="shared" si="2"/>
        <v>0.76489576892037769</v>
      </c>
      <c r="G42">
        <v>909.79</v>
      </c>
      <c r="H42">
        <f t="shared" si="3"/>
        <v>0.81922470847778128</v>
      </c>
      <c r="I42">
        <v>256.86</v>
      </c>
      <c r="J42">
        <f t="shared" si="4"/>
        <v>0.51313502607027994</v>
      </c>
      <c r="K42">
        <v>151.05000000000001</v>
      </c>
      <c r="L42">
        <f t="shared" si="5"/>
        <v>0.41712691925328621</v>
      </c>
      <c r="M42">
        <v>324.83</v>
      </c>
      <c r="N42">
        <f t="shared" si="6"/>
        <v>0.26877663315543421</v>
      </c>
      <c r="O42">
        <v>521.6</v>
      </c>
      <c r="P42">
        <f t="shared" si="7"/>
        <v>0.55639113784974459</v>
      </c>
      <c r="Q42">
        <v>1511.92</v>
      </c>
      <c r="R42">
        <f t="shared" si="8"/>
        <v>0.79460982172889338</v>
      </c>
      <c r="S42">
        <v>1443.9</v>
      </c>
      <c r="T42">
        <f t="shared" si="9"/>
        <v>0.7551659754292559</v>
      </c>
      <c r="U42">
        <v>1614.03</v>
      </c>
      <c r="V42">
        <f t="shared" si="10"/>
        <v>0.85380794439242691</v>
      </c>
      <c r="W42">
        <v>463.97</v>
      </c>
      <c r="X42">
        <f t="shared" si="11"/>
        <v>0.53258873226502601</v>
      </c>
      <c r="Y42">
        <v>313.88</v>
      </c>
      <c r="Z42">
        <f t="shared" si="12"/>
        <v>0.34254035118352555</v>
      </c>
    </row>
    <row r="43" spans="1:26" x14ac:dyDescent="0.2">
      <c r="A43" s="1">
        <v>143.05000000000001</v>
      </c>
      <c r="B43">
        <f t="shared" si="0"/>
        <v>0.42144182894853138</v>
      </c>
      <c r="C43">
        <v>33.630000000000003</v>
      </c>
      <c r="D43">
        <f t="shared" si="1"/>
        <v>0.1009515804640831</v>
      </c>
      <c r="E43">
        <v>748.26</v>
      </c>
      <c r="F43">
        <f t="shared" si="2"/>
        <v>0.78423275654260949</v>
      </c>
      <c r="G43">
        <v>943.04</v>
      </c>
      <c r="H43">
        <f t="shared" si="3"/>
        <v>0.84916482823826034</v>
      </c>
      <c r="I43">
        <v>246.36</v>
      </c>
      <c r="J43">
        <f t="shared" si="4"/>
        <v>0.49215893880975692</v>
      </c>
      <c r="K43">
        <v>150.30000000000001</v>
      </c>
      <c r="L43">
        <f t="shared" si="5"/>
        <v>0.41505578261349829</v>
      </c>
      <c r="M43">
        <v>329.88</v>
      </c>
      <c r="N43">
        <f t="shared" si="6"/>
        <v>0.27295519424103265</v>
      </c>
      <c r="O43">
        <v>507.24</v>
      </c>
      <c r="P43">
        <f t="shared" si="7"/>
        <v>0.5410733143460591</v>
      </c>
      <c r="Q43">
        <v>1535.31</v>
      </c>
      <c r="R43">
        <f t="shared" si="8"/>
        <v>0.80690274974772958</v>
      </c>
      <c r="S43">
        <v>1342.4</v>
      </c>
      <c r="T43">
        <f t="shared" si="9"/>
        <v>0.70208103429339508</v>
      </c>
      <c r="U43">
        <v>1594.12</v>
      </c>
      <c r="V43">
        <f t="shared" si="10"/>
        <v>0.84327572617290603</v>
      </c>
      <c r="W43">
        <v>463.76</v>
      </c>
      <c r="X43">
        <f t="shared" si="11"/>
        <v>0.53234767436521424</v>
      </c>
      <c r="Y43">
        <v>310.92</v>
      </c>
      <c r="Z43">
        <f t="shared" si="12"/>
        <v>0.33931007388168016</v>
      </c>
    </row>
    <row r="44" spans="1:26" x14ac:dyDescent="0.2">
      <c r="A44" s="1">
        <v>143.08000000000001</v>
      </c>
      <c r="B44">
        <f t="shared" si="0"/>
        <v>0.42153021241493094</v>
      </c>
      <c r="C44">
        <v>29.57</v>
      </c>
      <c r="D44">
        <f t="shared" si="1"/>
        <v>8.8764146129138771E-2</v>
      </c>
      <c r="E44">
        <v>780.96</v>
      </c>
      <c r="F44">
        <f t="shared" si="2"/>
        <v>0.81850481590558943</v>
      </c>
      <c r="G44">
        <v>987.15</v>
      </c>
      <c r="H44">
        <f t="shared" si="3"/>
        <v>0.88888388636261317</v>
      </c>
      <c r="I44">
        <v>234.39</v>
      </c>
      <c r="J44">
        <f t="shared" si="4"/>
        <v>0.46824619933276063</v>
      </c>
      <c r="K44">
        <v>147.44</v>
      </c>
      <c r="L44">
        <f t="shared" si="5"/>
        <v>0.40715784822710704</v>
      </c>
      <c r="M44">
        <v>343.57</v>
      </c>
      <c r="N44">
        <f t="shared" si="6"/>
        <v>0.28428281825327872</v>
      </c>
      <c r="O44">
        <v>507.69</v>
      </c>
      <c r="P44">
        <f t="shared" si="7"/>
        <v>0.54155332970655057</v>
      </c>
      <c r="Q44">
        <v>1576.02</v>
      </c>
      <c r="R44">
        <f t="shared" si="8"/>
        <v>0.82829843592330976</v>
      </c>
      <c r="S44">
        <v>1303.97</v>
      </c>
      <c r="T44">
        <f t="shared" si="9"/>
        <v>0.68198197727023113</v>
      </c>
      <c r="U44">
        <v>1561.68</v>
      </c>
      <c r="V44">
        <f t="shared" si="10"/>
        <v>0.82611524606033671</v>
      </c>
      <c r="W44">
        <v>468.51</v>
      </c>
      <c r="X44">
        <f t="shared" si="11"/>
        <v>0.53780017448000372</v>
      </c>
      <c r="Y44">
        <v>298.5</v>
      </c>
      <c r="Z44">
        <f t="shared" si="12"/>
        <v>0.32575600493272072</v>
      </c>
    </row>
    <row r="45" spans="1:26" x14ac:dyDescent="0.2">
      <c r="A45" s="1">
        <v>141.80000000000001</v>
      </c>
      <c r="B45">
        <f t="shared" si="0"/>
        <v>0.41775918451521671</v>
      </c>
      <c r="C45">
        <v>32.35</v>
      </c>
      <c r="D45">
        <f t="shared" si="1"/>
        <v>9.7109236634346952E-2</v>
      </c>
      <c r="E45">
        <v>834.99</v>
      </c>
      <c r="F45">
        <f t="shared" si="2"/>
        <v>0.87513231949524695</v>
      </c>
      <c r="G45">
        <v>1020.98</v>
      </c>
      <c r="H45">
        <f t="shared" si="3"/>
        <v>0.91934626986628254</v>
      </c>
      <c r="I45">
        <v>229.65</v>
      </c>
      <c r="J45">
        <f t="shared" si="4"/>
        <v>0.45877699422658169</v>
      </c>
      <c r="K45">
        <v>134.47999999999999</v>
      </c>
      <c r="L45">
        <f t="shared" si="5"/>
        <v>0.37136860709157182</v>
      </c>
      <c r="M45">
        <v>353.1</v>
      </c>
      <c r="N45">
        <f t="shared" si="6"/>
        <v>0.29216830085639817</v>
      </c>
      <c r="O45">
        <v>505.53</v>
      </c>
      <c r="P45">
        <f t="shared" si="7"/>
        <v>0.53924925597619122</v>
      </c>
      <c r="Q45">
        <v>1621.6</v>
      </c>
      <c r="R45">
        <f t="shared" si="8"/>
        <v>0.85225361587621928</v>
      </c>
      <c r="S45">
        <v>1249.8399999999999</v>
      </c>
      <c r="T45">
        <f t="shared" si="9"/>
        <v>0.65367175201225913</v>
      </c>
      <c r="U45">
        <v>1512.5</v>
      </c>
      <c r="V45">
        <f t="shared" si="10"/>
        <v>0.80009945037796426</v>
      </c>
      <c r="W45">
        <v>464.89</v>
      </c>
      <c r="X45">
        <f t="shared" si="11"/>
        <v>0.53364479544515364</v>
      </c>
      <c r="Y45">
        <v>269.20999999999998</v>
      </c>
      <c r="Z45">
        <f t="shared" si="12"/>
        <v>0.29379153798304103</v>
      </c>
    </row>
    <row r="46" spans="1:26" x14ac:dyDescent="0.2">
      <c r="A46" s="1">
        <v>137.63999999999999</v>
      </c>
      <c r="B46">
        <f t="shared" si="0"/>
        <v>0.40550334384114539</v>
      </c>
      <c r="C46">
        <v>29.32</v>
      </c>
      <c r="D46">
        <f t="shared" si="1"/>
        <v>8.801368834989344E-2</v>
      </c>
      <c r="E46">
        <v>851.57</v>
      </c>
      <c r="F46">
        <f t="shared" si="2"/>
        <v>0.89250940647500865</v>
      </c>
      <c r="G46">
        <v>1049.05</v>
      </c>
      <c r="H46">
        <f t="shared" si="3"/>
        <v>0.94462203412723422</v>
      </c>
      <c r="I46">
        <v>224.85</v>
      </c>
      <c r="J46">
        <f t="shared" si="4"/>
        <v>0.44918792576462829</v>
      </c>
      <c r="K46">
        <v>117.56</v>
      </c>
      <c r="L46">
        <f t="shared" si="5"/>
        <v>0.32464376449795646</v>
      </c>
      <c r="M46">
        <v>355.07</v>
      </c>
      <c r="N46">
        <f t="shared" si="6"/>
        <v>0.29379835339870092</v>
      </c>
      <c r="O46">
        <v>475.1</v>
      </c>
      <c r="P46">
        <f t="shared" si="7"/>
        <v>0.50678955059895248</v>
      </c>
      <c r="Q46">
        <v>1655.13</v>
      </c>
      <c r="R46">
        <f t="shared" si="8"/>
        <v>0.8698757568113018</v>
      </c>
      <c r="S46">
        <v>1245.6500000000001</v>
      </c>
      <c r="T46">
        <f t="shared" si="9"/>
        <v>0.65148036380182328</v>
      </c>
      <c r="U46">
        <v>1494.81</v>
      </c>
      <c r="V46">
        <f t="shared" si="10"/>
        <v>0.79074159300461799</v>
      </c>
      <c r="W46">
        <v>467.85</v>
      </c>
      <c r="X46">
        <f t="shared" si="11"/>
        <v>0.53704256393773819</v>
      </c>
      <c r="Y46">
        <v>253.64</v>
      </c>
      <c r="Z46">
        <f t="shared" si="12"/>
        <v>0.27679984285137449</v>
      </c>
    </row>
    <row r="47" spans="1:26" x14ac:dyDescent="0.2">
      <c r="A47" s="1">
        <v>139.25</v>
      </c>
      <c r="B47">
        <f t="shared" si="0"/>
        <v>0.41024658987125473</v>
      </c>
      <c r="C47">
        <v>26.82</v>
      </c>
      <c r="D47">
        <f t="shared" si="1"/>
        <v>8.0509110557440047E-2</v>
      </c>
      <c r="E47">
        <v>844.32</v>
      </c>
      <c r="F47">
        <f t="shared" si="2"/>
        <v>0.88491086120340001</v>
      </c>
      <c r="G47">
        <v>1066.43</v>
      </c>
      <c r="H47">
        <f t="shared" si="3"/>
        <v>0.96027193732835092</v>
      </c>
      <c r="I47">
        <v>227.65</v>
      </c>
      <c r="J47">
        <f t="shared" si="4"/>
        <v>0.45478154903410112</v>
      </c>
      <c r="K47">
        <v>107.71</v>
      </c>
      <c r="L47">
        <f t="shared" si="5"/>
        <v>0.29744283662874182</v>
      </c>
      <c r="M47">
        <v>362.6</v>
      </c>
      <c r="N47">
        <f t="shared" si="6"/>
        <v>0.30002896032435566</v>
      </c>
      <c r="O47">
        <v>459.79</v>
      </c>
      <c r="P47">
        <f t="shared" si="7"/>
        <v>0.49045836133422938</v>
      </c>
      <c r="Q47">
        <v>1684.51</v>
      </c>
      <c r="R47">
        <f t="shared" si="8"/>
        <v>0.88531680961991255</v>
      </c>
      <c r="S47">
        <v>1223.76</v>
      </c>
      <c r="T47">
        <f t="shared" si="9"/>
        <v>0.64003179866424686</v>
      </c>
      <c r="U47">
        <v>1455.94</v>
      </c>
      <c r="V47">
        <f t="shared" si="10"/>
        <v>0.77017969836911959</v>
      </c>
      <c r="W47">
        <v>464.1</v>
      </c>
      <c r="X47">
        <f t="shared" si="11"/>
        <v>0.53273795858395712</v>
      </c>
      <c r="Y47">
        <v>247.05</v>
      </c>
      <c r="Z47">
        <f t="shared" si="12"/>
        <v>0.26960811061517137</v>
      </c>
    </row>
    <row r="48" spans="1:26" x14ac:dyDescent="0.2">
      <c r="A48" s="1">
        <v>140.13999999999999</v>
      </c>
      <c r="B48">
        <f t="shared" si="0"/>
        <v>0.41286863270777474</v>
      </c>
      <c r="C48">
        <v>28.23</v>
      </c>
      <c r="D48">
        <f t="shared" si="1"/>
        <v>8.4741692432383761E-2</v>
      </c>
      <c r="E48">
        <v>829.93</v>
      </c>
      <c r="F48">
        <f t="shared" si="2"/>
        <v>0.86982905893326901</v>
      </c>
      <c r="G48">
        <v>1098.3399999999999</v>
      </c>
      <c r="H48">
        <f t="shared" si="3"/>
        <v>0.98900544775111432</v>
      </c>
      <c r="I48">
        <v>225.92</v>
      </c>
      <c r="J48">
        <f t="shared" si="4"/>
        <v>0.45132548894260544</v>
      </c>
      <c r="K48">
        <v>95.29</v>
      </c>
      <c r="L48">
        <f t="shared" si="5"/>
        <v>0.26314481387385397</v>
      </c>
      <c r="M48">
        <v>372.2</v>
      </c>
      <c r="N48">
        <f t="shared" si="6"/>
        <v>0.30797236357618635</v>
      </c>
      <c r="O48">
        <v>441.95</v>
      </c>
      <c r="P48">
        <f t="shared" si="7"/>
        <v>0.47142841904274269</v>
      </c>
      <c r="Q48">
        <v>1739.53</v>
      </c>
      <c r="R48">
        <f t="shared" si="8"/>
        <v>0.91423330810628989</v>
      </c>
      <c r="S48">
        <v>1235.1300000000001</v>
      </c>
      <c r="T48">
        <f t="shared" si="9"/>
        <v>0.64597835808015569</v>
      </c>
      <c r="U48">
        <v>1439.5</v>
      </c>
      <c r="V48">
        <f t="shared" si="10"/>
        <v>0.76148308021096167</v>
      </c>
      <c r="W48">
        <v>456.69</v>
      </c>
      <c r="X48">
        <f t="shared" si="11"/>
        <v>0.5242320584048854</v>
      </c>
      <c r="Y48">
        <v>241.55</v>
      </c>
      <c r="Z48">
        <f t="shared" si="12"/>
        <v>0.26360590616917484</v>
      </c>
    </row>
    <row r="49" spans="1:26" x14ac:dyDescent="0.2">
      <c r="A49" s="1">
        <v>139.51</v>
      </c>
      <c r="B49">
        <f t="shared" si="0"/>
        <v>0.41101257991338419</v>
      </c>
      <c r="C49">
        <v>27.1</v>
      </c>
      <c r="D49">
        <f t="shared" si="1"/>
        <v>8.1349623270194821E-2</v>
      </c>
      <c r="E49">
        <v>851.26</v>
      </c>
      <c r="F49">
        <f t="shared" si="2"/>
        <v>0.8921845031599468</v>
      </c>
      <c r="G49">
        <v>1093.6300000000001</v>
      </c>
      <c r="H49">
        <f t="shared" si="3"/>
        <v>0.98476430597451725</v>
      </c>
      <c r="I49">
        <v>245.43</v>
      </c>
      <c r="J49">
        <f t="shared" si="4"/>
        <v>0.49030105679525343</v>
      </c>
      <c r="K49">
        <v>91.01</v>
      </c>
      <c r="L49">
        <f t="shared" si="5"/>
        <v>0.25132552744946429</v>
      </c>
      <c r="M49">
        <v>399.56</v>
      </c>
      <c r="N49">
        <f t="shared" si="6"/>
        <v>0.33061106284390385</v>
      </c>
      <c r="O49">
        <v>432.63</v>
      </c>
      <c r="P49">
        <f t="shared" si="7"/>
        <v>0.46148676757656243</v>
      </c>
      <c r="Q49">
        <v>1775.24</v>
      </c>
      <c r="R49">
        <f t="shared" si="8"/>
        <v>0.93300117726202492</v>
      </c>
      <c r="S49">
        <v>1246.1400000000001</v>
      </c>
      <c r="T49">
        <f t="shared" si="9"/>
        <v>0.6517366359314446</v>
      </c>
      <c r="U49">
        <v>1415.21</v>
      </c>
      <c r="V49">
        <f t="shared" si="10"/>
        <v>0.74863387978142071</v>
      </c>
      <c r="W49">
        <v>466.1</v>
      </c>
      <c r="X49">
        <f t="shared" si="11"/>
        <v>0.53503374810597371</v>
      </c>
      <c r="Y49">
        <v>233.07</v>
      </c>
      <c r="Z49">
        <f t="shared" si="12"/>
        <v>0.25435159822334746</v>
      </c>
    </row>
    <row r="50" spans="1:26" x14ac:dyDescent="0.2">
      <c r="A50" s="1">
        <v>146.41999999999999</v>
      </c>
      <c r="B50">
        <f t="shared" si="0"/>
        <v>0.43137023834074767</v>
      </c>
      <c r="C50">
        <v>24.34</v>
      </c>
      <c r="D50">
        <f t="shared" si="1"/>
        <v>7.3064569387326264E-2</v>
      </c>
      <c r="E50">
        <v>878.19</v>
      </c>
      <c r="F50">
        <f t="shared" si="2"/>
        <v>0.92040916856193611</v>
      </c>
      <c r="G50">
        <v>1110.55</v>
      </c>
      <c r="H50">
        <f t="shared" si="3"/>
        <v>1</v>
      </c>
      <c r="I50">
        <v>232.56</v>
      </c>
      <c r="J50">
        <f t="shared" si="4"/>
        <v>0.46459036698164097</v>
      </c>
      <c r="K50">
        <v>99.89</v>
      </c>
      <c r="L50">
        <f t="shared" si="5"/>
        <v>0.27584778526455317</v>
      </c>
      <c r="M50">
        <v>416.3</v>
      </c>
      <c r="N50">
        <f t="shared" si="6"/>
        <v>0.34446237226428367</v>
      </c>
      <c r="O50">
        <v>441.61</v>
      </c>
      <c r="P50">
        <f t="shared" si="7"/>
        <v>0.47106574077037133</v>
      </c>
      <c r="Q50">
        <v>1805.35</v>
      </c>
      <c r="R50">
        <f t="shared" si="8"/>
        <v>0.94882589135553308</v>
      </c>
      <c r="S50">
        <v>1235.8800000000001</v>
      </c>
      <c r="T50">
        <f t="shared" si="9"/>
        <v>0.64637061133978035</v>
      </c>
      <c r="U50">
        <v>1409.54</v>
      </c>
      <c r="V50">
        <f t="shared" si="10"/>
        <v>0.74563449870132614</v>
      </c>
      <c r="W50">
        <v>496.99</v>
      </c>
      <c r="X50">
        <f t="shared" si="11"/>
        <v>0.5704922172735204</v>
      </c>
      <c r="Y50">
        <v>224.79</v>
      </c>
      <c r="Z50">
        <f t="shared" si="12"/>
        <v>0.2453155522573745</v>
      </c>
    </row>
    <row r="51" spans="1:26" x14ac:dyDescent="0.2">
      <c r="A51" s="1">
        <v>139.66</v>
      </c>
      <c r="B51">
        <f t="shared" si="0"/>
        <v>0.41145449724538197</v>
      </c>
      <c r="C51">
        <v>24.37</v>
      </c>
      <c r="D51">
        <f t="shared" si="1"/>
        <v>7.3154624320835721E-2</v>
      </c>
      <c r="E51">
        <v>921.04</v>
      </c>
      <c r="F51">
        <f t="shared" si="2"/>
        <v>0.96531919130516808</v>
      </c>
      <c r="G51">
        <v>1108.32</v>
      </c>
      <c r="H51">
        <f t="shared" si="3"/>
        <v>0.99799198595290617</v>
      </c>
      <c r="I51">
        <v>228.21</v>
      </c>
      <c r="J51">
        <f t="shared" si="4"/>
        <v>0.45590027368799568</v>
      </c>
      <c r="K51">
        <v>96.53</v>
      </c>
      <c r="L51">
        <f t="shared" si="5"/>
        <v>0.26656909311830335</v>
      </c>
      <c r="M51">
        <v>433.37</v>
      </c>
      <c r="N51">
        <f t="shared" si="6"/>
        <v>0.35858673617144515</v>
      </c>
      <c r="O51">
        <v>435.65</v>
      </c>
      <c r="P51">
        <f t="shared" si="7"/>
        <v>0.46470820399586116</v>
      </c>
      <c r="Q51">
        <v>1842.82</v>
      </c>
      <c r="R51">
        <f t="shared" si="8"/>
        <v>0.96851875210225358</v>
      </c>
      <c r="S51">
        <v>1275.23</v>
      </c>
      <c r="T51">
        <f t="shared" si="9"/>
        <v>0.66695083236141695</v>
      </c>
      <c r="U51">
        <v>1383.7</v>
      </c>
      <c r="V51">
        <f t="shared" si="10"/>
        <v>0.73196536164495152</v>
      </c>
      <c r="W51">
        <v>524.25</v>
      </c>
      <c r="X51">
        <f t="shared" si="11"/>
        <v>0.6017838284586069</v>
      </c>
      <c r="Y51">
        <v>211.26</v>
      </c>
      <c r="Z51">
        <f t="shared" si="12"/>
        <v>0.23055012932022304</v>
      </c>
    </row>
    <row r="52" spans="1:26" x14ac:dyDescent="0.2">
      <c r="A52" s="1">
        <v>138.38999999999999</v>
      </c>
      <c r="B52">
        <f t="shared" si="0"/>
        <v>0.40771293050113422</v>
      </c>
      <c r="C52">
        <v>26.89</v>
      </c>
      <c r="D52">
        <f t="shared" si="1"/>
        <v>8.0719238735628737E-2</v>
      </c>
      <c r="E52">
        <v>952.14</v>
      </c>
      <c r="F52">
        <f t="shared" si="2"/>
        <v>0.99791433033234467</v>
      </c>
      <c r="G52">
        <v>1094.27</v>
      </c>
      <c r="H52">
        <f t="shared" si="3"/>
        <v>0.9853405970014858</v>
      </c>
      <c r="I52">
        <v>225.7</v>
      </c>
      <c r="J52">
        <f t="shared" si="4"/>
        <v>0.45088598997143253</v>
      </c>
      <c r="K52">
        <v>104.1</v>
      </c>
      <c r="L52">
        <f t="shared" si="5"/>
        <v>0.28747376560256266</v>
      </c>
      <c r="M52">
        <v>428.16</v>
      </c>
      <c r="N52">
        <f t="shared" si="6"/>
        <v>0.35427578503164953</v>
      </c>
      <c r="O52">
        <v>414.12</v>
      </c>
      <c r="P52">
        <f t="shared" si="7"/>
        <v>0.44174213574834392</v>
      </c>
      <c r="Q52">
        <v>1870.85</v>
      </c>
      <c r="R52">
        <f t="shared" si="8"/>
        <v>0.98325029431550615</v>
      </c>
      <c r="S52">
        <v>1322.01</v>
      </c>
      <c r="T52">
        <f t="shared" si="9"/>
        <v>0.69141697567506788</v>
      </c>
      <c r="U52">
        <v>1337.21</v>
      </c>
      <c r="V52">
        <f t="shared" si="10"/>
        <v>0.70737255275366462</v>
      </c>
      <c r="W52">
        <v>546.74</v>
      </c>
      <c r="X52">
        <f t="shared" si="11"/>
        <v>0.62759998163368391</v>
      </c>
      <c r="Y52">
        <v>190.97</v>
      </c>
      <c r="Z52">
        <f t="shared" si="12"/>
        <v>0.20840745146399223</v>
      </c>
    </row>
    <row r="53" spans="1:26" x14ac:dyDescent="0.2">
      <c r="A53" s="1">
        <v>136.02000000000001</v>
      </c>
      <c r="B53">
        <f t="shared" si="0"/>
        <v>0.40073063665556963</v>
      </c>
      <c r="C53">
        <v>29.43</v>
      </c>
      <c r="D53">
        <f t="shared" si="1"/>
        <v>8.8343889772761391E-2</v>
      </c>
      <c r="E53">
        <v>954.13</v>
      </c>
      <c r="F53">
        <f t="shared" si="2"/>
        <v>1</v>
      </c>
      <c r="G53">
        <v>1079.8900000000001</v>
      </c>
      <c r="H53">
        <f t="shared" si="3"/>
        <v>0.97239205798928474</v>
      </c>
      <c r="I53">
        <v>238.04</v>
      </c>
      <c r="J53">
        <f t="shared" si="4"/>
        <v>0.47553788680903769</v>
      </c>
      <c r="K53">
        <v>101.15</v>
      </c>
      <c r="L53">
        <f t="shared" si="5"/>
        <v>0.27932729481939689</v>
      </c>
      <c r="M53">
        <v>464.68</v>
      </c>
      <c r="N53">
        <f t="shared" si="6"/>
        <v>0.38449381490215551</v>
      </c>
      <c r="O53">
        <v>410.57</v>
      </c>
      <c r="P53">
        <f t="shared" si="7"/>
        <v>0.43795534790446627</v>
      </c>
      <c r="Q53">
        <v>1813.57</v>
      </c>
      <c r="R53">
        <f t="shared" si="8"/>
        <v>0.95314602253615877</v>
      </c>
      <c r="S53">
        <v>1285.5</v>
      </c>
      <c r="T53">
        <f t="shared" si="9"/>
        <v>0.67232208699654294</v>
      </c>
      <c r="U53">
        <v>1295.8499999999999</v>
      </c>
      <c r="V53">
        <f t="shared" si="10"/>
        <v>0.6854934696015107</v>
      </c>
      <c r="W53">
        <v>559.83000000000004</v>
      </c>
      <c r="X53">
        <f t="shared" si="11"/>
        <v>0.64262592405528263</v>
      </c>
      <c r="Y53">
        <v>177.84</v>
      </c>
      <c r="Z53">
        <f t="shared" si="12"/>
        <v>0.19407855248654959</v>
      </c>
    </row>
    <row r="54" spans="1:26" x14ac:dyDescent="0.2">
      <c r="A54" s="1">
        <v>137.81</v>
      </c>
      <c r="B54">
        <f t="shared" si="0"/>
        <v>0.40600418348407624</v>
      </c>
      <c r="C54">
        <v>27.56</v>
      </c>
      <c r="D54">
        <f t="shared" si="1"/>
        <v>8.2730465584006235E-2</v>
      </c>
      <c r="E54">
        <v>943.31</v>
      </c>
      <c r="F54">
        <f t="shared" si="2"/>
        <v>0.98865982622913018</v>
      </c>
      <c r="G54">
        <v>1047.96</v>
      </c>
      <c r="H54">
        <f t="shared" si="3"/>
        <v>0.94364053847192841</v>
      </c>
      <c r="I54">
        <v>233.65</v>
      </c>
      <c r="J54">
        <f t="shared" si="4"/>
        <v>0.46676788461154284</v>
      </c>
      <c r="K54">
        <v>107.45</v>
      </c>
      <c r="L54">
        <f t="shared" si="5"/>
        <v>0.29672484259361537</v>
      </c>
      <c r="M54">
        <v>503.58</v>
      </c>
      <c r="N54">
        <f t="shared" si="6"/>
        <v>0.4166811468288445</v>
      </c>
      <c r="O54">
        <v>414.64</v>
      </c>
      <c r="P54">
        <f t="shared" si="7"/>
        <v>0.4422968201649119</v>
      </c>
      <c r="Q54">
        <v>1879.32</v>
      </c>
      <c r="R54">
        <f t="shared" si="8"/>
        <v>0.98770181634712406</v>
      </c>
      <c r="S54">
        <v>1300.83</v>
      </c>
      <c r="T54">
        <f t="shared" si="9"/>
        <v>0.68033974362326943</v>
      </c>
      <c r="U54">
        <v>1271.8499999999999</v>
      </c>
      <c r="V54">
        <f t="shared" si="10"/>
        <v>0.67279767666989343</v>
      </c>
      <c r="W54">
        <v>552.84</v>
      </c>
      <c r="X54">
        <f t="shared" si="11"/>
        <v>0.63460213967583456</v>
      </c>
      <c r="Y54">
        <v>173.67</v>
      </c>
      <c r="Z54">
        <f t="shared" si="12"/>
        <v>0.18952779020658495</v>
      </c>
    </row>
    <row r="55" spans="1:26" x14ac:dyDescent="0.2">
      <c r="A55" s="1">
        <v>138.44</v>
      </c>
      <c r="B55">
        <f t="shared" si="0"/>
        <v>0.40786023627846685</v>
      </c>
      <c r="C55">
        <v>28.15</v>
      </c>
      <c r="D55">
        <f t="shared" si="1"/>
        <v>8.4501545943025239E-2</v>
      </c>
      <c r="E55">
        <v>943.82</v>
      </c>
      <c r="F55">
        <f t="shared" si="2"/>
        <v>0.98919434458616751</v>
      </c>
      <c r="G55">
        <v>1054.1600000000001</v>
      </c>
      <c r="H55">
        <f t="shared" si="3"/>
        <v>0.9492233577956869</v>
      </c>
      <c r="I55">
        <v>228.59</v>
      </c>
      <c r="J55">
        <f t="shared" si="4"/>
        <v>0.45665940827456702</v>
      </c>
      <c r="K55">
        <v>112.51</v>
      </c>
      <c r="L55">
        <f t="shared" si="5"/>
        <v>0.31069811112338452</v>
      </c>
      <c r="M55">
        <v>540.88</v>
      </c>
      <c r="N55">
        <f t="shared" si="6"/>
        <v>0.44754457821356169</v>
      </c>
      <c r="O55">
        <v>429.67</v>
      </c>
      <c r="P55">
        <f t="shared" si="7"/>
        <v>0.45832933320532926</v>
      </c>
      <c r="Q55">
        <v>1902.72</v>
      </c>
      <c r="R55">
        <f t="shared" si="8"/>
        <v>1</v>
      </c>
      <c r="S55">
        <v>1340.3</v>
      </c>
      <c r="T55">
        <f t="shared" si="9"/>
        <v>0.70098272516644611</v>
      </c>
      <c r="U55">
        <v>1199.1099999999999</v>
      </c>
      <c r="V55">
        <f t="shared" si="10"/>
        <v>0.63431884425965002</v>
      </c>
      <c r="W55">
        <v>556.67999999999995</v>
      </c>
      <c r="X55">
        <f t="shared" si="11"/>
        <v>0.63901005555810642</v>
      </c>
      <c r="Y55">
        <v>167.28</v>
      </c>
      <c r="Z55">
        <f t="shared" si="12"/>
        <v>0.18255431995023627</v>
      </c>
    </row>
    <row r="56" spans="1:26" x14ac:dyDescent="0.2">
      <c r="A56" s="1">
        <v>148.76</v>
      </c>
      <c r="B56">
        <f t="shared" si="0"/>
        <v>0.43826414871991276</v>
      </c>
      <c r="C56">
        <v>26.12</v>
      </c>
      <c r="D56">
        <f t="shared" si="1"/>
        <v>7.8407828775553093E-2</v>
      </c>
      <c r="E56">
        <v>929.24</v>
      </c>
      <c r="F56">
        <f t="shared" si="2"/>
        <v>0.97391340802616</v>
      </c>
      <c r="G56">
        <v>1006.43</v>
      </c>
      <c r="H56">
        <f t="shared" si="3"/>
        <v>0.9062446535500428</v>
      </c>
      <c r="I56">
        <v>232.17</v>
      </c>
      <c r="J56">
        <f t="shared" si="4"/>
        <v>0.46381125516910721</v>
      </c>
      <c r="K56">
        <v>116.28</v>
      </c>
      <c r="L56">
        <f t="shared" si="5"/>
        <v>0.32110902463271845</v>
      </c>
      <c r="M56">
        <v>568.41999999999996</v>
      </c>
      <c r="N56">
        <f t="shared" si="6"/>
        <v>0.47033221629225103</v>
      </c>
      <c r="O56">
        <v>428.27</v>
      </c>
      <c r="P56">
        <f t="shared" si="7"/>
        <v>0.45683595208379996</v>
      </c>
      <c r="Q56">
        <v>1902.21</v>
      </c>
      <c r="R56">
        <f t="shared" si="8"/>
        <v>0.99973196266397579</v>
      </c>
      <c r="S56">
        <v>1398.12</v>
      </c>
      <c r="T56">
        <f t="shared" si="9"/>
        <v>0.731222836461771</v>
      </c>
      <c r="U56">
        <v>1175.57</v>
      </c>
      <c r="V56">
        <f t="shared" si="10"/>
        <v>0.62186638735922206</v>
      </c>
      <c r="W56">
        <v>572.87</v>
      </c>
      <c r="X56">
        <f t="shared" si="11"/>
        <v>0.65759447173883101</v>
      </c>
      <c r="Y56">
        <v>158.99</v>
      </c>
      <c r="Z56">
        <f t="shared" si="12"/>
        <v>0.17350736088527061</v>
      </c>
    </row>
    <row r="57" spans="1:26" x14ac:dyDescent="0.2">
      <c r="A57" s="1">
        <v>165.02</v>
      </c>
      <c r="B57">
        <f t="shared" si="0"/>
        <v>0.48616798750847012</v>
      </c>
      <c r="C57">
        <v>26.72</v>
      </c>
      <c r="D57">
        <f t="shared" si="1"/>
        <v>8.0208927445741901E-2</v>
      </c>
      <c r="E57">
        <v>912.03</v>
      </c>
      <c r="F57">
        <f t="shared" si="2"/>
        <v>0.95587603366417573</v>
      </c>
      <c r="G57">
        <v>976.17</v>
      </c>
      <c r="H57">
        <f t="shared" si="3"/>
        <v>0.8789968934311827</v>
      </c>
      <c r="I57">
        <v>234.01</v>
      </c>
      <c r="J57">
        <f t="shared" si="4"/>
        <v>0.46748706474618934</v>
      </c>
      <c r="K57">
        <v>113.67</v>
      </c>
      <c r="L57">
        <f t="shared" si="5"/>
        <v>0.31390146912625649</v>
      </c>
      <c r="M57">
        <v>584.24</v>
      </c>
      <c r="N57">
        <f t="shared" si="6"/>
        <v>0.48342228290099709</v>
      </c>
      <c r="O57">
        <v>437.66</v>
      </c>
      <c r="P57">
        <f t="shared" si="7"/>
        <v>0.46685227260605672</v>
      </c>
      <c r="Q57">
        <v>1902.23</v>
      </c>
      <c r="R57">
        <f t="shared" si="8"/>
        <v>0.99974247393205518</v>
      </c>
      <c r="S57">
        <v>1460.96</v>
      </c>
      <c r="T57">
        <f t="shared" si="9"/>
        <v>0.76408842957484979</v>
      </c>
      <c r="U57">
        <v>1134.49</v>
      </c>
      <c r="V57">
        <f t="shared" si="10"/>
        <v>0.60013542179127055</v>
      </c>
      <c r="W57">
        <v>537.1</v>
      </c>
      <c r="X57">
        <f t="shared" si="11"/>
        <v>0.61653427613756373</v>
      </c>
      <c r="Y57">
        <v>160.72</v>
      </c>
      <c r="Z57">
        <f t="shared" si="12"/>
        <v>0.17539532701101132</v>
      </c>
    </row>
    <row r="58" spans="1:26" x14ac:dyDescent="0.2">
      <c r="A58" s="1">
        <v>176.53</v>
      </c>
      <c r="B58">
        <f t="shared" si="0"/>
        <v>0.5200777774504316</v>
      </c>
      <c r="C58">
        <v>25.9</v>
      </c>
      <c r="D58">
        <f t="shared" si="1"/>
        <v>7.774742592981719E-2</v>
      </c>
      <c r="E58">
        <v>876.83</v>
      </c>
      <c r="F58">
        <f t="shared" si="2"/>
        <v>0.91898378627650323</v>
      </c>
      <c r="G58">
        <v>955.85</v>
      </c>
      <c r="H58">
        <f t="shared" si="3"/>
        <v>0.86069965332492915</v>
      </c>
      <c r="I58">
        <v>237.3</v>
      </c>
      <c r="J58">
        <f t="shared" si="4"/>
        <v>0.4740595720878199</v>
      </c>
      <c r="K58">
        <v>109.25</v>
      </c>
      <c r="L58">
        <f t="shared" si="5"/>
        <v>0.30169557052910639</v>
      </c>
      <c r="M58">
        <v>591.5</v>
      </c>
      <c r="N58">
        <f t="shared" si="6"/>
        <v>0.48942948161019406</v>
      </c>
      <c r="O58">
        <v>435.4</v>
      </c>
      <c r="P58">
        <f t="shared" si="7"/>
        <v>0.46444152879558809</v>
      </c>
      <c r="Q58">
        <v>1891.94</v>
      </c>
      <c r="R58">
        <f t="shared" si="8"/>
        <v>0.99433442650521364</v>
      </c>
      <c r="S58">
        <v>1521.66</v>
      </c>
      <c r="T58">
        <f t="shared" si="9"/>
        <v>0.79583479338713314</v>
      </c>
      <c r="U58">
        <v>1093.8399999999999</v>
      </c>
      <c r="V58">
        <f t="shared" si="10"/>
        <v>0.57863192251334372</v>
      </c>
      <c r="W58">
        <v>521.85</v>
      </c>
      <c r="X58">
        <f t="shared" si="11"/>
        <v>0.59902888103218699</v>
      </c>
      <c r="Y58">
        <v>171.03</v>
      </c>
      <c r="Z58">
        <f t="shared" si="12"/>
        <v>0.18664673207250662</v>
      </c>
    </row>
    <row r="59" spans="1:26" x14ac:dyDescent="0.2">
      <c r="A59" s="1">
        <v>185.55</v>
      </c>
      <c r="B59">
        <f t="shared" si="0"/>
        <v>0.54665173968123038</v>
      </c>
      <c r="C59">
        <v>28.23</v>
      </c>
      <c r="D59">
        <f t="shared" si="1"/>
        <v>8.4741692432383761E-2</v>
      </c>
      <c r="E59">
        <v>870.94</v>
      </c>
      <c r="F59">
        <f t="shared" si="2"/>
        <v>0.91281062329032736</v>
      </c>
      <c r="G59">
        <v>944.82</v>
      </c>
      <c r="H59">
        <f t="shared" si="3"/>
        <v>0.85076763765701691</v>
      </c>
      <c r="I59">
        <v>232.56</v>
      </c>
      <c r="J59">
        <f t="shared" si="4"/>
        <v>0.46459036698164097</v>
      </c>
      <c r="K59">
        <v>125.99</v>
      </c>
      <c r="L59">
        <f t="shared" si="5"/>
        <v>0.34792334032917266</v>
      </c>
      <c r="M59">
        <v>594.63</v>
      </c>
      <c r="N59">
        <f t="shared" si="6"/>
        <v>0.49201936204542635</v>
      </c>
      <c r="O59">
        <v>429.97</v>
      </c>
      <c r="P59">
        <f t="shared" si="7"/>
        <v>0.45864934344565694</v>
      </c>
      <c r="Q59">
        <v>1881.01</v>
      </c>
      <c r="R59">
        <f t="shared" si="8"/>
        <v>0.98859001849983175</v>
      </c>
      <c r="S59">
        <v>1537.79</v>
      </c>
      <c r="T59">
        <f t="shared" si="9"/>
        <v>0.80427085349079253</v>
      </c>
      <c r="U59">
        <v>1017.25</v>
      </c>
      <c r="V59">
        <f t="shared" si="10"/>
        <v>0.53811647332032009</v>
      </c>
      <c r="W59">
        <v>545.21</v>
      </c>
      <c r="X59">
        <f t="shared" si="11"/>
        <v>0.62584370264934119</v>
      </c>
      <c r="Y59">
        <v>172.7</v>
      </c>
      <c r="Z59">
        <f t="shared" si="12"/>
        <v>0.188469219604291</v>
      </c>
    </row>
    <row r="60" spans="1:26" x14ac:dyDescent="0.2">
      <c r="A60" s="1">
        <v>200.03</v>
      </c>
      <c r="B60">
        <f t="shared" si="0"/>
        <v>0.58931149279674744</v>
      </c>
      <c r="C60">
        <v>29.81</v>
      </c>
      <c r="D60">
        <f t="shared" si="1"/>
        <v>8.9484585597214297E-2</v>
      </c>
      <c r="E60">
        <v>882.44</v>
      </c>
      <c r="F60">
        <f t="shared" si="2"/>
        <v>0.92486348820391362</v>
      </c>
      <c r="G60">
        <v>924.11</v>
      </c>
      <c r="H60">
        <f t="shared" si="3"/>
        <v>0.83211922020620421</v>
      </c>
      <c r="I60">
        <v>233.97</v>
      </c>
      <c r="J60">
        <f t="shared" si="4"/>
        <v>0.46740715584233972</v>
      </c>
      <c r="K60">
        <v>135.21</v>
      </c>
      <c r="L60">
        <f t="shared" si="5"/>
        <v>0.37338451342096546</v>
      </c>
      <c r="M60">
        <v>593.86</v>
      </c>
      <c r="N60">
        <f t="shared" si="6"/>
        <v>0.49138223490960242</v>
      </c>
      <c r="O60">
        <v>429.14</v>
      </c>
      <c r="P60">
        <f t="shared" si="7"/>
        <v>0.45776398178075028</v>
      </c>
      <c r="Q60">
        <v>1885.92</v>
      </c>
      <c r="R60">
        <f t="shared" si="8"/>
        <v>0.99117053481331985</v>
      </c>
      <c r="S60">
        <v>1501.27</v>
      </c>
      <c r="T60">
        <f t="shared" si="9"/>
        <v>0.78517073476880594</v>
      </c>
      <c r="U60">
        <v>1021.18</v>
      </c>
      <c r="V60">
        <f t="shared" si="10"/>
        <v>0.54019540941287247</v>
      </c>
      <c r="W60">
        <v>501.71</v>
      </c>
      <c r="X60">
        <f t="shared" si="11"/>
        <v>0.57591028054547955</v>
      </c>
      <c r="Y60">
        <v>167.36</v>
      </c>
      <c r="Z60">
        <f t="shared" si="12"/>
        <v>0.18264162474217804</v>
      </c>
    </row>
    <row r="61" spans="1:26" x14ac:dyDescent="0.2">
      <c r="A61" s="1">
        <v>211.87</v>
      </c>
      <c r="B61">
        <f t="shared" si="0"/>
        <v>0.62419350086910408</v>
      </c>
      <c r="C61">
        <v>31.29</v>
      </c>
      <c r="D61">
        <f t="shared" si="1"/>
        <v>9.3927295650346715E-2</v>
      </c>
      <c r="E61">
        <v>892.08</v>
      </c>
      <c r="F61">
        <f t="shared" si="2"/>
        <v>0.93496693322712843</v>
      </c>
      <c r="G61">
        <v>917.61</v>
      </c>
      <c r="H61">
        <f t="shared" si="3"/>
        <v>0.82626626446355411</v>
      </c>
      <c r="I61">
        <v>223.33</v>
      </c>
      <c r="J61">
        <f t="shared" si="4"/>
        <v>0.44615138741834309</v>
      </c>
      <c r="K61">
        <v>139.96</v>
      </c>
      <c r="L61">
        <f t="shared" si="5"/>
        <v>0.38650171213962226</v>
      </c>
      <c r="M61">
        <v>643.76</v>
      </c>
      <c r="N61">
        <f t="shared" si="6"/>
        <v>0.5326713830623474</v>
      </c>
      <c r="O61">
        <v>427.65</v>
      </c>
      <c r="P61">
        <f t="shared" si="7"/>
        <v>0.45617459758712275</v>
      </c>
      <c r="Q61">
        <v>1850.66</v>
      </c>
      <c r="R61">
        <f t="shared" si="8"/>
        <v>0.97263916918937099</v>
      </c>
      <c r="S61">
        <v>1507.71</v>
      </c>
      <c r="T61">
        <f t="shared" si="9"/>
        <v>0.78853888275811579</v>
      </c>
      <c r="U61">
        <v>994.85</v>
      </c>
      <c r="V61">
        <f t="shared" si="10"/>
        <v>0.52626706658414402</v>
      </c>
      <c r="W61">
        <v>484.81</v>
      </c>
      <c r="X61">
        <f t="shared" si="11"/>
        <v>0.5565108590844392</v>
      </c>
      <c r="Y61">
        <v>156.69</v>
      </c>
      <c r="Z61">
        <f t="shared" si="12"/>
        <v>0.17099734811694475</v>
      </c>
    </row>
    <row r="62" spans="1:26" x14ac:dyDescent="0.2">
      <c r="A62" s="1">
        <v>233.39</v>
      </c>
      <c r="B62">
        <f t="shared" si="0"/>
        <v>0.68759390743304949</v>
      </c>
      <c r="C62">
        <v>33.81</v>
      </c>
      <c r="D62">
        <f t="shared" si="1"/>
        <v>0.10149191006513975</v>
      </c>
      <c r="E62">
        <v>857.39</v>
      </c>
      <c r="F62">
        <f t="shared" si="2"/>
        <v>0.89860920419649315</v>
      </c>
      <c r="G62">
        <v>917.45</v>
      </c>
      <c r="H62">
        <f t="shared" si="3"/>
        <v>0.826122191706812</v>
      </c>
      <c r="I62">
        <v>228.87</v>
      </c>
      <c r="J62">
        <f t="shared" si="4"/>
        <v>0.45721877060151428</v>
      </c>
      <c r="K62">
        <v>136.62</v>
      </c>
      <c r="L62">
        <f t="shared" si="5"/>
        <v>0.37727825030376672</v>
      </c>
      <c r="M62">
        <v>682.26</v>
      </c>
      <c r="N62">
        <f t="shared" si="6"/>
        <v>0.56452773985354354</v>
      </c>
      <c r="O62">
        <v>423.08</v>
      </c>
      <c r="P62">
        <f t="shared" si="7"/>
        <v>0.45129977492613094</v>
      </c>
      <c r="Q62">
        <v>1823.14</v>
      </c>
      <c r="R62">
        <f t="shared" si="8"/>
        <v>0.95817566431214263</v>
      </c>
      <c r="S62">
        <v>1467.93</v>
      </c>
      <c r="T62">
        <f t="shared" si="9"/>
        <v>0.76773376986762765</v>
      </c>
      <c r="U62">
        <v>992.59</v>
      </c>
      <c r="V62">
        <f t="shared" si="10"/>
        <v>0.52507154608308337</v>
      </c>
      <c r="W62">
        <v>519.36</v>
      </c>
      <c r="X62">
        <f t="shared" si="11"/>
        <v>0.59617062307727631</v>
      </c>
      <c r="Y62">
        <v>174.92</v>
      </c>
      <c r="Z62">
        <f t="shared" si="12"/>
        <v>0.19089192758067505</v>
      </c>
    </row>
    <row r="63" spans="1:26" x14ac:dyDescent="0.2">
      <c r="A63" s="1">
        <v>253.76</v>
      </c>
      <c r="B63">
        <f t="shared" si="0"/>
        <v>0.74760628111834537</v>
      </c>
      <c r="C63">
        <v>34.82</v>
      </c>
      <c r="D63">
        <f t="shared" si="1"/>
        <v>0.10452375949329092</v>
      </c>
      <c r="E63">
        <v>851.47</v>
      </c>
      <c r="F63">
        <f t="shared" si="2"/>
        <v>0.89240459895402102</v>
      </c>
      <c r="G63">
        <v>908.68</v>
      </c>
      <c r="H63">
        <f t="shared" si="3"/>
        <v>0.81822520372788254</v>
      </c>
      <c r="I63">
        <v>246.91</v>
      </c>
      <c r="J63">
        <f t="shared" si="4"/>
        <v>0.49325768623768901</v>
      </c>
      <c r="K63">
        <v>141.29</v>
      </c>
      <c r="L63">
        <f t="shared" si="5"/>
        <v>0.3901745277808461</v>
      </c>
      <c r="M63">
        <v>726.94</v>
      </c>
      <c r="N63">
        <f t="shared" si="6"/>
        <v>0.60149766248810566</v>
      </c>
      <c r="O63">
        <v>418.89</v>
      </c>
      <c r="P63">
        <f t="shared" si="7"/>
        <v>0.4468302985695542</v>
      </c>
      <c r="Q63">
        <v>1812.85</v>
      </c>
      <c r="R63">
        <f t="shared" si="8"/>
        <v>0.95276761688530098</v>
      </c>
      <c r="S63">
        <v>1516.92</v>
      </c>
      <c r="T63">
        <f t="shared" si="9"/>
        <v>0.79335575278630566</v>
      </c>
      <c r="U63">
        <v>976.15</v>
      </c>
      <c r="V63">
        <f t="shared" si="10"/>
        <v>0.51637492792492545</v>
      </c>
      <c r="W63">
        <v>486.99</v>
      </c>
      <c r="X63">
        <f t="shared" si="11"/>
        <v>0.55901326966343734</v>
      </c>
      <c r="Y63">
        <v>175.2</v>
      </c>
      <c r="Z63">
        <f t="shared" si="12"/>
        <v>0.19119749435247124</v>
      </c>
    </row>
    <row r="64" spans="1:26" x14ac:dyDescent="0.2">
      <c r="A64" s="1">
        <v>265.83</v>
      </c>
      <c r="B64">
        <f t="shared" si="0"/>
        <v>0.78316589576643192</v>
      </c>
      <c r="C64">
        <v>40.409999999999997</v>
      </c>
      <c r="D64">
        <f t="shared" si="1"/>
        <v>0.12130399543721669</v>
      </c>
      <c r="E64">
        <v>856.38</v>
      </c>
      <c r="F64">
        <f t="shared" si="2"/>
        <v>0.89755064823451736</v>
      </c>
      <c r="G64">
        <v>902.88</v>
      </c>
      <c r="H64">
        <f t="shared" si="3"/>
        <v>0.81300256629597945</v>
      </c>
      <c r="I64">
        <v>257.64</v>
      </c>
      <c r="J64">
        <f t="shared" si="4"/>
        <v>0.51469324969534724</v>
      </c>
      <c r="K64">
        <v>148.94</v>
      </c>
      <c r="L64">
        <f t="shared" si="5"/>
        <v>0.41130012150668288</v>
      </c>
      <c r="M64">
        <v>745.39</v>
      </c>
      <c r="N64">
        <f t="shared" si="6"/>
        <v>0.61676389061271775</v>
      </c>
      <c r="O64">
        <v>433.08</v>
      </c>
      <c r="P64">
        <f t="shared" si="7"/>
        <v>0.46196678293705395</v>
      </c>
      <c r="Q64">
        <v>1775.68</v>
      </c>
      <c r="R64">
        <f t="shared" si="8"/>
        <v>0.93323242515977134</v>
      </c>
      <c r="S64">
        <v>1469.47</v>
      </c>
      <c r="T64">
        <f t="shared" si="9"/>
        <v>0.76853919656072345</v>
      </c>
      <c r="U64">
        <v>943.05</v>
      </c>
      <c r="V64">
        <f t="shared" si="10"/>
        <v>0.49886531350673663</v>
      </c>
      <c r="W64">
        <v>495.93</v>
      </c>
      <c r="X64">
        <f t="shared" si="11"/>
        <v>0.56927544882685155</v>
      </c>
      <c r="Y64">
        <v>181.35</v>
      </c>
      <c r="Z64">
        <f t="shared" si="12"/>
        <v>0.19790905023299465</v>
      </c>
    </row>
    <row r="65" spans="1:26" x14ac:dyDescent="0.2">
      <c r="A65" s="1">
        <v>277.55</v>
      </c>
      <c r="B65">
        <f t="shared" si="0"/>
        <v>0.81769436997319034</v>
      </c>
      <c r="C65">
        <v>43.26</v>
      </c>
      <c r="D65">
        <f t="shared" si="1"/>
        <v>0.12985921412061358</v>
      </c>
      <c r="E65">
        <v>835.41</v>
      </c>
      <c r="F65">
        <f t="shared" si="2"/>
        <v>0.87557251108339529</v>
      </c>
      <c r="G65">
        <v>927.49</v>
      </c>
      <c r="H65">
        <f t="shared" si="3"/>
        <v>0.8351627571923822</v>
      </c>
      <c r="I65">
        <v>270.5</v>
      </c>
      <c r="J65">
        <f t="shared" si="4"/>
        <v>0.54038396228299734</v>
      </c>
      <c r="K65">
        <v>166.73</v>
      </c>
      <c r="L65">
        <f t="shared" si="5"/>
        <v>0.4604274826024522</v>
      </c>
      <c r="M65">
        <v>764.28</v>
      </c>
      <c r="N65">
        <f t="shared" si="6"/>
        <v>0.6323941913863721</v>
      </c>
      <c r="O65">
        <v>457.75</v>
      </c>
      <c r="P65">
        <f t="shared" si="7"/>
        <v>0.48828229170000104</v>
      </c>
      <c r="Q65">
        <v>1750.92</v>
      </c>
      <c r="R65">
        <f t="shared" si="8"/>
        <v>0.92021947527749748</v>
      </c>
      <c r="S65">
        <v>1493.75</v>
      </c>
      <c r="T65">
        <f t="shared" si="9"/>
        <v>0.78123774208563679</v>
      </c>
      <c r="U65">
        <v>876.64</v>
      </c>
      <c r="V65">
        <f t="shared" si="10"/>
        <v>0.46373499648220734</v>
      </c>
      <c r="W65">
        <v>523.07000000000005</v>
      </c>
      <c r="X65">
        <f t="shared" si="11"/>
        <v>0.60042931264061716</v>
      </c>
      <c r="Y65">
        <v>193.28</v>
      </c>
      <c r="Z65">
        <f t="shared" si="12"/>
        <v>0.21092837733131076</v>
      </c>
    </row>
    <row r="66" spans="1:26" x14ac:dyDescent="0.2">
      <c r="A66" s="1">
        <v>270.16000000000003</v>
      </c>
      <c r="B66">
        <f t="shared" si="0"/>
        <v>0.79592257608343409</v>
      </c>
      <c r="C66">
        <v>51.52</v>
      </c>
      <c r="D66">
        <f t="shared" si="1"/>
        <v>0.15465433914687962</v>
      </c>
      <c r="E66">
        <v>806.77</v>
      </c>
      <c r="F66">
        <f t="shared" si="2"/>
        <v>0.84555563707251635</v>
      </c>
      <c r="G66">
        <v>944.22</v>
      </c>
      <c r="H66">
        <f t="shared" si="3"/>
        <v>0.85022736481923378</v>
      </c>
      <c r="I66">
        <v>276.12</v>
      </c>
      <c r="J66">
        <f t="shared" si="4"/>
        <v>0.55161116327386783</v>
      </c>
      <c r="K66">
        <v>194.16</v>
      </c>
      <c r="L66">
        <f t="shared" si="5"/>
        <v>0.53617585330829554</v>
      </c>
      <c r="M66">
        <v>792.68</v>
      </c>
      <c r="N66">
        <f t="shared" si="6"/>
        <v>0.65589342600637124</v>
      </c>
      <c r="O66">
        <v>473.47</v>
      </c>
      <c r="P66">
        <f t="shared" si="7"/>
        <v>0.50505082829317205</v>
      </c>
      <c r="Q66">
        <v>1741.44</v>
      </c>
      <c r="R66">
        <f t="shared" si="8"/>
        <v>0.91523713420787089</v>
      </c>
      <c r="S66">
        <v>1570.4</v>
      </c>
      <c r="T66">
        <f t="shared" si="9"/>
        <v>0.82132602521926967</v>
      </c>
      <c r="U66">
        <v>825.24</v>
      </c>
      <c r="V66">
        <f t="shared" si="10"/>
        <v>0.43654483995366034</v>
      </c>
      <c r="W66">
        <v>508.15</v>
      </c>
      <c r="X66">
        <f t="shared" si="11"/>
        <v>0.58330272280637308</v>
      </c>
      <c r="Y66">
        <v>189.13</v>
      </c>
      <c r="Z66">
        <f t="shared" si="12"/>
        <v>0.20639944124933157</v>
      </c>
    </row>
    <row r="67" spans="1:26" x14ac:dyDescent="0.2">
      <c r="A67" s="1">
        <v>268.70999999999998</v>
      </c>
      <c r="B67">
        <f t="shared" ref="B67:B97" si="13">A67/339.43</f>
        <v>0.79165070854078889</v>
      </c>
      <c r="C67">
        <v>58.77</v>
      </c>
      <c r="D67">
        <f t="shared" ref="D67:D97" si="14">C67/333.13</f>
        <v>0.17641761474499446</v>
      </c>
      <c r="E67">
        <v>798.75</v>
      </c>
      <c r="F67">
        <f t="shared" ref="F67:F96" si="15">E67/954.13</f>
        <v>0.83715007388930229</v>
      </c>
      <c r="G67">
        <v>949.64</v>
      </c>
      <c r="H67">
        <f t="shared" ref="H67:H97" si="16">G67/1110.55</f>
        <v>0.8551078294538742</v>
      </c>
      <c r="I67">
        <v>281.64</v>
      </c>
      <c r="J67">
        <f t="shared" ref="J67:J97" si="17">I67/500.57</f>
        <v>0.56263859200511412</v>
      </c>
      <c r="K67">
        <v>202.77</v>
      </c>
      <c r="L67">
        <f t="shared" ref="L67:L97" si="18">K67/362.12</f>
        <v>0.5599525019330609</v>
      </c>
      <c r="M67">
        <v>852.21</v>
      </c>
      <c r="N67">
        <f t="shared" ref="N67:N97" si="19">M67/1208.55</f>
        <v>0.70515080054610901</v>
      </c>
      <c r="O67">
        <v>493.22</v>
      </c>
      <c r="P67">
        <f t="shared" ref="P67:P97" si="20">O67/937.47</f>
        <v>0.52611816911474507</v>
      </c>
      <c r="Q67">
        <v>1711.84</v>
      </c>
      <c r="R67">
        <f t="shared" ref="R67:R97" si="21">Q67/1902.72</f>
        <v>0.89968045745038672</v>
      </c>
      <c r="S67">
        <v>1620.41</v>
      </c>
      <c r="T67">
        <f t="shared" ref="T67:T97" si="22">S67/1912.03</f>
        <v>0.84748147257103712</v>
      </c>
      <c r="U67">
        <v>834.58</v>
      </c>
      <c r="V67">
        <f t="shared" ref="V67:V97" si="23">U67/1890.39</f>
        <v>0.44148561936954805</v>
      </c>
      <c r="W67">
        <v>478.94</v>
      </c>
      <c r="X67">
        <f t="shared" ref="X67:X96" si="24">W67/871.16</f>
        <v>0.54977271683732032</v>
      </c>
      <c r="Y67">
        <v>176.88</v>
      </c>
      <c r="Z67">
        <f t="shared" ref="Z67:Z97" si="25">Y67/916.33</f>
        <v>0.19303089498324838</v>
      </c>
    </row>
    <row r="68" spans="1:26" x14ac:dyDescent="0.2">
      <c r="A68" s="1">
        <v>275.58999999999997</v>
      </c>
      <c r="B68">
        <f t="shared" si="13"/>
        <v>0.81191998350175287</v>
      </c>
      <c r="C68">
        <v>62.87</v>
      </c>
      <c r="D68">
        <f t="shared" si="14"/>
        <v>0.18872512232461802</v>
      </c>
      <c r="E68">
        <v>772.48</v>
      </c>
      <c r="F68">
        <f t="shared" si="15"/>
        <v>0.80961713812583191</v>
      </c>
      <c r="G68">
        <v>950.67</v>
      </c>
      <c r="H68">
        <f t="shared" si="16"/>
        <v>0.85603529782540178</v>
      </c>
      <c r="I68">
        <v>295.51</v>
      </c>
      <c r="J68">
        <f t="shared" si="17"/>
        <v>0.5903470044149669</v>
      </c>
      <c r="K68">
        <v>204.15</v>
      </c>
      <c r="L68">
        <f t="shared" si="18"/>
        <v>0.56376339335027059</v>
      </c>
      <c r="M68">
        <v>940.71</v>
      </c>
      <c r="N68">
        <f t="shared" si="19"/>
        <v>0.77837904927392332</v>
      </c>
      <c r="O68">
        <v>504.41</v>
      </c>
      <c r="P68">
        <f t="shared" si="20"/>
        <v>0.53805455107896782</v>
      </c>
      <c r="Q68">
        <v>1674.47</v>
      </c>
      <c r="R68">
        <f t="shared" si="21"/>
        <v>0.88004015304406324</v>
      </c>
      <c r="S68">
        <v>1698.96</v>
      </c>
      <c r="T68">
        <f t="shared" si="22"/>
        <v>0.88856346396238561</v>
      </c>
      <c r="U68">
        <v>816.61</v>
      </c>
      <c r="V68">
        <f t="shared" si="23"/>
        <v>0.4319796444119996</v>
      </c>
      <c r="W68">
        <v>517.29</v>
      </c>
      <c r="X68">
        <f t="shared" si="24"/>
        <v>0.59379448092198905</v>
      </c>
      <c r="Y68">
        <v>186.43</v>
      </c>
      <c r="Z68">
        <f t="shared" si="25"/>
        <v>0.20345290452129691</v>
      </c>
    </row>
    <row r="69" spans="1:26" x14ac:dyDescent="0.2">
      <c r="A69" s="1">
        <v>285.95</v>
      </c>
      <c r="B69">
        <f t="shared" si="13"/>
        <v>0.84244174056506493</v>
      </c>
      <c r="C69">
        <v>72.430000000000007</v>
      </c>
      <c r="D69">
        <f t="shared" si="14"/>
        <v>0.21742262780295982</v>
      </c>
      <c r="E69">
        <v>710.82</v>
      </c>
      <c r="F69">
        <f t="shared" si="15"/>
        <v>0.74499282068481243</v>
      </c>
      <c r="G69">
        <v>937.57</v>
      </c>
      <c r="H69">
        <f t="shared" si="16"/>
        <v>0.84423934086713803</v>
      </c>
      <c r="I69">
        <v>285.56</v>
      </c>
      <c r="J69">
        <f t="shared" si="17"/>
        <v>0.57046966458237613</v>
      </c>
      <c r="K69">
        <v>221.86</v>
      </c>
      <c r="L69">
        <f t="shared" si="18"/>
        <v>0.61266983320446267</v>
      </c>
      <c r="M69">
        <v>1003.74</v>
      </c>
      <c r="N69">
        <f t="shared" si="19"/>
        <v>0.83053245624922434</v>
      </c>
      <c r="O69">
        <v>512.1</v>
      </c>
      <c r="P69">
        <f t="shared" si="20"/>
        <v>0.54625748023936771</v>
      </c>
      <c r="Q69">
        <v>1694.01</v>
      </c>
      <c r="R69">
        <f t="shared" si="21"/>
        <v>0.89030966195761851</v>
      </c>
      <c r="S69">
        <v>1750.99</v>
      </c>
      <c r="T69">
        <f t="shared" si="22"/>
        <v>0.91577538009340864</v>
      </c>
      <c r="U69">
        <v>793.65</v>
      </c>
      <c r="V69">
        <f t="shared" si="23"/>
        <v>0.41983400250741909</v>
      </c>
      <c r="W69">
        <v>551.73</v>
      </c>
      <c r="X69">
        <f t="shared" si="24"/>
        <v>0.63332797649111539</v>
      </c>
      <c r="Y69">
        <v>190.04</v>
      </c>
      <c r="Z69">
        <f t="shared" si="25"/>
        <v>0.20739253325766915</v>
      </c>
    </row>
    <row r="70" spans="1:26" x14ac:dyDescent="0.2">
      <c r="A70" s="1">
        <v>297.33</v>
      </c>
      <c r="B70">
        <f t="shared" si="13"/>
        <v>0.87596853548596165</v>
      </c>
      <c r="C70">
        <v>89.21</v>
      </c>
      <c r="D70">
        <f t="shared" si="14"/>
        <v>0.26779335394590698</v>
      </c>
      <c r="E70">
        <v>675.98</v>
      </c>
      <c r="F70">
        <f t="shared" si="15"/>
        <v>0.70847788037269555</v>
      </c>
      <c r="G70">
        <v>915.4</v>
      </c>
      <c r="H70">
        <f t="shared" si="16"/>
        <v>0.8242762595110531</v>
      </c>
      <c r="I70">
        <v>275.61</v>
      </c>
      <c r="J70">
        <f t="shared" si="17"/>
        <v>0.55059232474978526</v>
      </c>
      <c r="K70">
        <v>236.13</v>
      </c>
      <c r="L70">
        <f t="shared" si="18"/>
        <v>0.65207665967082729</v>
      </c>
      <c r="M70">
        <v>1043.97</v>
      </c>
      <c r="N70">
        <f t="shared" si="19"/>
        <v>0.86382028050142734</v>
      </c>
      <c r="O70">
        <v>541.71</v>
      </c>
      <c r="P70">
        <f t="shared" si="20"/>
        <v>0.57784249095971074</v>
      </c>
      <c r="Q70">
        <v>1637.92</v>
      </c>
      <c r="R70">
        <f t="shared" si="21"/>
        <v>0.86083081062899436</v>
      </c>
      <c r="S70">
        <v>1747.98</v>
      </c>
      <c r="T70">
        <f t="shared" si="22"/>
        <v>0.91420113701144856</v>
      </c>
      <c r="U70">
        <v>760.5</v>
      </c>
      <c r="V70">
        <f t="shared" si="23"/>
        <v>0.40229793852062273</v>
      </c>
      <c r="W70">
        <v>575.21</v>
      </c>
      <c r="X70">
        <f t="shared" si="24"/>
        <v>0.66028054547959047</v>
      </c>
      <c r="Y70">
        <v>183.96</v>
      </c>
      <c r="Z70">
        <f t="shared" si="25"/>
        <v>0.20075736907009484</v>
      </c>
    </row>
    <row r="71" spans="1:26" x14ac:dyDescent="0.2">
      <c r="A71" s="1">
        <v>298.64999999999998</v>
      </c>
      <c r="B71">
        <f t="shared" si="13"/>
        <v>0.87985740800754197</v>
      </c>
      <c r="C71">
        <v>109.6</v>
      </c>
      <c r="D71">
        <f t="shared" si="14"/>
        <v>0.32900069042115687</v>
      </c>
      <c r="E71">
        <v>622.88</v>
      </c>
      <c r="F71">
        <f t="shared" si="15"/>
        <v>0.65282508672822359</v>
      </c>
      <c r="G71">
        <v>908.01</v>
      </c>
      <c r="H71">
        <f t="shared" si="16"/>
        <v>0.81762189905902483</v>
      </c>
      <c r="I71">
        <v>292.43</v>
      </c>
      <c r="J71">
        <f t="shared" si="17"/>
        <v>0.58419401881854682</v>
      </c>
      <c r="K71">
        <v>217.63</v>
      </c>
      <c r="L71">
        <f t="shared" si="18"/>
        <v>0.60098862255605878</v>
      </c>
      <c r="M71">
        <v>1035.6500000000001</v>
      </c>
      <c r="N71">
        <f t="shared" si="19"/>
        <v>0.85693599768317419</v>
      </c>
      <c r="O71">
        <v>551.29</v>
      </c>
      <c r="P71">
        <f t="shared" si="20"/>
        <v>0.58806148463417496</v>
      </c>
      <c r="Q71">
        <v>1586.01</v>
      </c>
      <c r="R71">
        <f t="shared" si="21"/>
        <v>0.83354881432896066</v>
      </c>
      <c r="S71">
        <v>1763.33</v>
      </c>
      <c r="T71">
        <f t="shared" si="22"/>
        <v>0.92222925372509845</v>
      </c>
      <c r="U71">
        <v>746.23</v>
      </c>
      <c r="V71">
        <f t="shared" si="23"/>
        <v>0.39474923164003195</v>
      </c>
      <c r="W71">
        <v>601.22</v>
      </c>
      <c r="X71">
        <f t="shared" si="24"/>
        <v>0.69013728821341669</v>
      </c>
      <c r="Y71">
        <v>174.84</v>
      </c>
      <c r="Z71">
        <f t="shared" si="25"/>
        <v>0.19080462278873331</v>
      </c>
    </row>
    <row r="72" spans="1:26" x14ac:dyDescent="0.2">
      <c r="A72" s="1">
        <v>304.73</v>
      </c>
      <c r="B72">
        <f t="shared" si="13"/>
        <v>0.89776979053118466</v>
      </c>
      <c r="C72">
        <v>128.22999999999999</v>
      </c>
      <c r="D72">
        <f t="shared" si="14"/>
        <v>0.3849248041305196</v>
      </c>
      <c r="E72">
        <v>601.22</v>
      </c>
      <c r="F72">
        <f t="shared" si="15"/>
        <v>0.63012377768228656</v>
      </c>
      <c r="G72">
        <v>906.1</v>
      </c>
      <c r="H72">
        <f t="shared" si="16"/>
        <v>0.81590203052541543</v>
      </c>
      <c r="I72">
        <v>275.42</v>
      </c>
      <c r="J72">
        <f t="shared" si="17"/>
        <v>0.55021275745649967</v>
      </c>
      <c r="K72">
        <v>217.38</v>
      </c>
      <c r="L72">
        <f t="shared" si="18"/>
        <v>0.60029824367612949</v>
      </c>
      <c r="M72">
        <v>1047.3800000000001</v>
      </c>
      <c r="N72">
        <f t="shared" si="19"/>
        <v>0.86664184353150486</v>
      </c>
      <c r="O72">
        <v>565.88</v>
      </c>
      <c r="P72">
        <f t="shared" si="20"/>
        <v>0.60362464932211157</v>
      </c>
      <c r="Q72">
        <v>1575.58</v>
      </c>
      <c r="R72">
        <f t="shared" si="21"/>
        <v>0.82806718802556334</v>
      </c>
      <c r="S72">
        <v>1786.01</v>
      </c>
      <c r="T72">
        <f t="shared" si="22"/>
        <v>0.93409099229614601</v>
      </c>
      <c r="U72">
        <v>734.48</v>
      </c>
      <c r="V72">
        <f t="shared" si="23"/>
        <v>0.38853358301726099</v>
      </c>
      <c r="W72">
        <v>616.71</v>
      </c>
      <c r="X72">
        <f t="shared" si="24"/>
        <v>0.70791817806143542</v>
      </c>
      <c r="Y72">
        <v>185.64</v>
      </c>
      <c r="Z72">
        <f t="shared" si="25"/>
        <v>0.20259076970087192</v>
      </c>
    </row>
    <row r="73" spans="1:26" x14ac:dyDescent="0.2">
      <c r="A73" s="1">
        <v>309.67</v>
      </c>
      <c r="B73">
        <f t="shared" si="13"/>
        <v>0.91232360133164425</v>
      </c>
      <c r="C73">
        <v>148.46</v>
      </c>
      <c r="D73">
        <f t="shared" si="14"/>
        <v>0.44565184762705251</v>
      </c>
      <c r="E73">
        <v>612.5</v>
      </c>
      <c r="F73">
        <f t="shared" si="15"/>
        <v>0.64194606604969973</v>
      </c>
      <c r="G73">
        <v>914.4</v>
      </c>
      <c r="H73">
        <f t="shared" si="16"/>
        <v>0.82337580478141459</v>
      </c>
      <c r="I73">
        <v>257.14</v>
      </c>
      <c r="J73">
        <f t="shared" si="17"/>
        <v>0.51369438839722714</v>
      </c>
      <c r="K73">
        <v>233.63</v>
      </c>
      <c r="L73">
        <f t="shared" si="18"/>
        <v>0.6451728708715343</v>
      </c>
      <c r="M73">
        <v>1095.05</v>
      </c>
      <c r="N73">
        <f t="shared" si="19"/>
        <v>0.9060858053038765</v>
      </c>
      <c r="O73">
        <v>602.38</v>
      </c>
      <c r="P73">
        <f t="shared" si="20"/>
        <v>0.64255922856198067</v>
      </c>
      <c r="Q73">
        <v>1614.18</v>
      </c>
      <c r="R73">
        <f t="shared" si="21"/>
        <v>0.84835393541876891</v>
      </c>
      <c r="S73">
        <v>1838.66</v>
      </c>
      <c r="T73">
        <f t="shared" si="22"/>
        <v>0.96162717112179208</v>
      </c>
      <c r="U73">
        <v>691.35</v>
      </c>
      <c r="V73">
        <f t="shared" si="23"/>
        <v>0.36571818513640042</v>
      </c>
      <c r="W73">
        <v>652.54999999999995</v>
      </c>
      <c r="X73">
        <f t="shared" si="24"/>
        <v>0.74905872629597314</v>
      </c>
      <c r="Y73">
        <v>186.64</v>
      </c>
      <c r="Z73">
        <f t="shared" si="25"/>
        <v>0.20368207960014403</v>
      </c>
    </row>
    <row r="74" spans="1:26" x14ac:dyDescent="0.2">
      <c r="A74" s="1">
        <v>301.31</v>
      </c>
      <c r="B74">
        <f t="shared" si="13"/>
        <v>0.88769407536163569</v>
      </c>
      <c r="C74">
        <v>147.80000000000001</v>
      </c>
      <c r="D74">
        <f t="shared" si="14"/>
        <v>0.44367063908984483</v>
      </c>
      <c r="E74">
        <v>624.73</v>
      </c>
      <c r="F74">
        <f t="shared" si="15"/>
        <v>0.65476402586649618</v>
      </c>
      <c r="G74">
        <v>911.84</v>
      </c>
      <c r="H74">
        <f t="shared" si="16"/>
        <v>0.82107064067354019</v>
      </c>
      <c r="I74">
        <v>255.49</v>
      </c>
      <c r="J74">
        <f t="shared" si="17"/>
        <v>0.51039814611343071</v>
      </c>
      <c r="K74">
        <v>222.28</v>
      </c>
      <c r="L74">
        <f t="shared" si="18"/>
        <v>0.61382966972274389</v>
      </c>
      <c r="M74">
        <v>1107.95</v>
      </c>
      <c r="N74">
        <f t="shared" si="19"/>
        <v>0.91675975342352412</v>
      </c>
      <c r="O74">
        <v>622.51</v>
      </c>
      <c r="P74">
        <f t="shared" si="20"/>
        <v>0.6640319156879686</v>
      </c>
      <c r="Q74">
        <v>1623.64</v>
      </c>
      <c r="R74">
        <f t="shared" si="21"/>
        <v>0.85332576522031622</v>
      </c>
      <c r="S74">
        <v>1884.43</v>
      </c>
      <c r="T74">
        <f t="shared" si="22"/>
        <v>0.98556508004581522</v>
      </c>
      <c r="U74">
        <v>672.33</v>
      </c>
      <c r="V74">
        <f t="shared" si="23"/>
        <v>0.35565676923809375</v>
      </c>
      <c r="W74">
        <v>758.1</v>
      </c>
      <c r="X74">
        <f t="shared" si="24"/>
        <v>0.87021901832040049</v>
      </c>
      <c r="Y74">
        <v>183.59</v>
      </c>
      <c r="Z74">
        <f t="shared" si="25"/>
        <v>0.20035358440736414</v>
      </c>
    </row>
    <row r="75" spans="1:26" x14ac:dyDescent="0.2">
      <c r="A75" s="1">
        <v>326.37</v>
      </c>
      <c r="B75">
        <f t="shared" si="13"/>
        <v>0.9615237309607283</v>
      </c>
      <c r="C75">
        <v>165.15</v>
      </c>
      <c r="D75">
        <f t="shared" si="14"/>
        <v>0.49575240896947143</v>
      </c>
      <c r="E75">
        <v>637.97</v>
      </c>
      <c r="F75">
        <f t="shared" si="15"/>
        <v>0.66864054164526854</v>
      </c>
      <c r="G75">
        <v>919.95</v>
      </c>
      <c r="H75">
        <f t="shared" si="16"/>
        <v>0.82837332853090817</v>
      </c>
      <c r="I75">
        <v>266.95999999999998</v>
      </c>
      <c r="J75">
        <f t="shared" si="17"/>
        <v>0.53331202429230673</v>
      </c>
      <c r="K75">
        <v>214.17</v>
      </c>
      <c r="L75">
        <f t="shared" si="18"/>
        <v>0.5914337788578371</v>
      </c>
      <c r="M75">
        <v>1139.93</v>
      </c>
      <c r="N75">
        <f t="shared" si="19"/>
        <v>0.94322121550618521</v>
      </c>
      <c r="O75">
        <v>657.58</v>
      </c>
      <c r="P75">
        <f t="shared" si="20"/>
        <v>0.70144111278227572</v>
      </c>
      <c r="Q75">
        <v>1627.92</v>
      </c>
      <c r="R75">
        <f t="shared" si="21"/>
        <v>0.85557517658930371</v>
      </c>
      <c r="S75">
        <v>1909.08</v>
      </c>
      <c r="T75">
        <f t="shared" si="22"/>
        <v>0.99845713717880991</v>
      </c>
      <c r="U75">
        <v>623.77</v>
      </c>
      <c r="V75">
        <f t="shared" si="23"/>
        <v>0.32996894820645473</v>
      </c>
      <c r="W75">
        <v>814.11</v>
      </c>
      <c r="X75">
        <f t="shared" si="24"/>
        <v>0.93451260388447588</v>
      </c>
      <c r="Y75">
        <v>172.68</v>
      </c>
      <c r="Z75">
        <f t="shared" si="25"/>
        <v>0.18844739340630559</v>
      </c>
    </row>
    <row r="76" spans="1:26" x14ac:dyDescent="0.2">
      <c r="A76" s="1">
        <v>339.43</v>
      </c>
      <c r="B76">
        <f t="shared" si="13"/>
        <v>1</v>
      </c>
      <c r="C76">
        <v>186.74</v>
      </c>
      <c r="D76">
        <f t="shared" si="14"/>
        <v>0.56056194278509897</v>
      </c>
      <c r="E76">
        <v>645.36</v>
      </c>
      <c r="F76">
        <f t="shared" si="15"/>
        <v>0.67638581744625992</v>
      </c>
      <c r="G76">
        <v>913.91</v>
      </c>
      <c r="H76">
        <f t="shared" si="16"/>
        <v>0.8229345819638918</v>
      </c>
      <c r="I76">
        <v>265.68</v>
      </c>
      <c r="J76">
        <f t="shared" si="17"/>
        <v>0.53075493936911922</v>
      </c>
      <c r="K76">
        <v>199.53</v>
      </c>
      <c r="L76">
        <f t="shared" si="18"/>
        <v>0.55100519164917705</v>
      </c>
      <c r="M76">
        <v>1179.96</v>
      </c>
      <c r="N76">
        <f t="shared" si="19"/>
        <v>0.97634355219064173</v>
      </c>
      <c r="O76">
        <v>693.83</v>
      </c>
      <c r="P76">
        <f t="shared" si="20"/>
        <v>0.74010901682187169</v>
      </c>
      <c r="Q76">
        <v>1645.64</v>
      </c>
      <c r="R76">
        <f t="shared" si="21"/>
        <v>0.86488816010763547</v>
      </c>
      <c r="S76">
        <v>1912.03</v>
      </c>
      <c r="T76">
        <f t="shared" si="22"/>
        <v>1</v>
      </c>
      <c r="U76">
        <v>619.45000000000005</v>
      </c>
      <c r="V76">
        <f t="shared" si="23"/>
        <v>0.32768370547876363</v>
      </c>
      <c r="W76">
        <v>814.19</v>
      </c>
      <c r="X76">
        <f t="shared" si="24"/>
        <v>0.93460443546535665</v>
      </c>
      <c r="Y76">
        <v>166.45</v>
      </c>
      <c r="Z76">
        <f t="shared" si="25"/>
        <v>0.18164853273384041</v>
      </c>
    </row>
    <row r="77" spans="1:26" x14ac:dyDescent="0.2">
      <c r="A77" s="1">
        <v>335.72</v>
      </c>
      <c r="B77">
        <f t="shared" si="13"/>
        <v>0.98906991132192212</v>
      </c>
      <c r="C77">
        <v>201.77</v>
      </c>
      <c r="D77">
        <f t="shared" si="14"/>
        <v>0.60567946447332877</v>
      </c>
      <c r="E77">
        <v>649.97</v>
      </c>
      <c r="F77">
        <f t="shared" si="15"/>
        <v>0.68121744416379326</v>
      </c>
      <c r="G77">
        <v>895.77</v>
      </c>
      <c r="H77">
        <f t="shared" si="16"/>
        <v>0.80660033316824997</v>
      </c>
      <c r="I77">
        <v>271.97000000000003</v>
      </c>
      <c r="J77">
        <f t="shared" si="17"/>
        <v>0.54332061449947067</v>
      </c>
      <c r="K77">
        <v>174.53</v>
      </c>
      <c r="L77">
        <f t="shared" si="18"/>
        <v>0.48196730365624657</v>
      </c>
      <c r="M77">
        <v>1183.3</v>
      </c>
      <c r="N77">
        <f t="shared" si="19"/>
        <v>0.97910719457200779</v>
      </c>
      <c r="O77">
        <v>730.2</v>
      </c>
      <c r="P77">
        <f t="shared" si="20"/>
        <v>0.77890492495759867</v>
      </c>
      <c r="Q77">
        <v>1663.45</v>
      </c>
      <c r="R77">
        <f t="shared" si="21"/>
        <v>0.87424844433232429</v>
      </c>
      <c r="S77">
        <v>1890.43</v>
      </c>
      <c r="T77">
        <f t="shared" si="22"/>
        <v>0.98870310612281198</v>
      </c>
      <c r="U77">
        <v>633.52</v>
      </c>
      <c r="V77">
        <f t="shared" si="23"/>
        <v>0.33512661408492422</v>
      </c>
      <c r="W77">
        <v>820.47</v>
      </c>
      <c r="X77">
        <f t="shared" si="24"/>
        <v>0.94181321456448874</v>
      </c>
      <c r="Y77">
        <v>166.9</v>
      </c>
      <c r="Z77">
        <f t="shared" si="25"/>
        <v>0.18213962218851287</v>
      </c>
    </row>
    <row r="78" spans="1:26" x14ac:dyDescent="0.2">
      <c r="A78" s="1">
        <v>320.17</v>
      </c>
      <c r="B78">
        <f t="shared" si="13"/>
        <v>0.9432578145714875</v>
      </c>
      <c r="C78">
        <v>223.96</v>
      </c>
      <c r="D78">
        <f t="shared" si="14"/>
        <v>0.6722900969591451</v>
      </c>
      <c r="E78">
        <v>645.12</v>
      </c>
      <c r="F78">
        <f t="shared" si="15"/>
        <v>0.67613427939588944</v>
      </c>
      <c r="G78">
        <v>886.68</v>
      </c>
      <c r="H78">
        <f t="shared" si="16"/>
        <v>0.7984151996758363</v>
      </c>
      <c r="I78">
        <v>282.77999999999997</v>
      </c>
      <c r="J78">
        <f t="shared" si="17"/>
        <v>0.56491599576482809</v>
      </c>
      <c r="K78">
        <v>158.85</v>
      </c>
      <c r="L78">
        <f t="shared" si="18"/>
        <v>0.43866674030708053</v>
      </c>
      <c r="M78">
        <v>1187.93</v>
      </c>
      <c r="N78">
        <f t="shared" si="19"/>
        <v>0.98293823176533868</v>
      </c>
      <c r="O78">
        <v>755.7</v>
      </c>
      <c r="P78">
        <f t="shared" si="20"/>
        <v>0.80610579538545235</v>
      </c>
      <c r="Q78">
        <v>1651.44</v>
      </c>
      <c r="R78">
        <f t="shared" si="21"/>
        <v>0.86793642785065594</v>
      </c>
      <c r="S78">
        <v>1860.9</v>
      </c>
      <c r="T78">
        <f t="shared" si="22"/>
        <v>0.97325878778052655</v>
      </c>
      <c r="U78">
        <v>625.27</v>
      </c>
      <c r="V78">
        <f t="shared" si="23"/>
        <v>0.3307624352646808</v>
      </c>
      <c r="W78">
        <v>818.51</v>
      </c>
      <c r="X78">
        <f t="shared" si="24"/>
        <v>0.93956334083291249</v>
      </c>
      <c r="Y78">
        <v>146.21</v>
      </c>
      <c r="Z78">
        <f t="shared" si="25"/>
        <v>0.1595604203725732</v>
      </c>
    </row>
    <row r="79" spans="1:26" x14ac:dyDescent="0.2">
      <c r="A79" s="1">
        <v>298.08</v>
      </c>
      <c r="B79">
        <f t="shared" si="13"/>
        <v>0.87817812214595048</v>
      </c>
      <c r="C79">
        <v>225</v>
      </c>
      <c r="D79">
        <f t="shared" si="14"/>
        <v>0.6754120013208057</v>
      </c>
      <c r="E79">
        <v>655.29999999999995</v>
      </c>
      <c r="F79">
        <f t="shared" si="15"/>
        <v>0.68680368503243794</v>
      </c>
      <c r="G79">
        <v>870.21</v>
      </c>
      <c r="H79">
        <f t="shared" si="16"/>
        <v>0.78358471027869081</v>
      </c>
      <c r="I79">
        <v>280.56</v>
      </c>
      <c r="J79">
        <f t="shared" si="17"/>
        <v>0.56048105160117467</v>
      </c>
      <c r="K79">
        <v>150.18</v>
      </c>
      <c r="L79">
        <f t="shared" si="18"/>
        <v>0.41472440075113226</v>
      </c>
      <c r="M79">
        <v>1247.6300000000001</v>
      </c>
      <c r="N79">
        <f t="shared" si="19"/>
        <v>1.0323362707376609</v>
      </c>
      <c r="O79">
        <v>817.06</v>
      </c>
      <c r="P79">
        <f t="shared" si="20"/>
        <v>0.87155855654047587</v>
      </c>
      <c r="Q79">
        <v>1691.13</v>
      </c>
      <c r="R79">
        <f t="shared" si="21"/>
        <v>0.88879603935418772</v>
      </c>
      <c r="S79">
        <v>1869.97</v>
      </c>
      <c r="T79">
        <f t="shared" si="22"/>
        <v>0.97800243720025315</v>
      </c>
      <c r="U79">
        <v>612.02</v>
      </c>
      <c r="V79">
        <f t="shared" si="23"/>
        <v>0.32375329958368376</v>
      </c>
      <c r="W79">
        <v>839.37</v>
      </c>
      <c r="X79">
        <f t="shared" si="24"/>
        <v>0.96350842554754579</v>
      </c>
      <c r="Y79">
        <v>143.57</v>
      </c>
      <c r="Z79">
        <f t="shared" si="25"/>
        <v>0.15667936223849485</v>
      </c>
    </row>
    <row r="80" spans="1:26" x14ac:dyDescent="0.2">
      <c r="A80" s="1">
        <v>285.04000000000002</v>
      </c>
      <c r="B80">
        <f t="shared" si="13"/>
        <v>0.83976077541761196</v>
      </c>
      <c r="C80">
        <v>219.78</v>
      </c>
      <c r="D80">
        <f t="shared" si="14"/>
        <v>0.65974244289016304</v>
      </c>
      <c r="E80">
        <v>646.16999999999996</v>
      </c>
      <c r="F80">
        <f t="shared" si="15"/>
        <v>0.67723475836626035</v>
      </c>
      <c r="G80">
        <v>852.62</v>
      </c>
      <c r="H80">
        <f t="shared" si="16"/>
        <v>0.76774571158435012</v>
      </c>
      <c r="I80">
        <v>283.45</v>
      </c>
      <c r="J80">
        <f t="shared" si="17"/>
        <v>0.56625446990430905</v>
      </c>
      <c r="K80">
        <v>143.29</v>
      </c>
      <c r="L80">
        <f t="shared" si="18"/>
        <v>0.39569755882028057</v>
      </c>
      <c r="M80">
        <v>1285.3800000000001</v>
      </c>
      <c r="N80">
        <f t="shared" si="19"/>
        <v>1.0635720491498077</v>
      </c>
      <c r="O80">
        <v>855.9</v>
      </c>
      <c r="P80">
        <f t="shared" si="20"/>
        <v>0.91298921565490088</v>
      </c>
      <c r="Q80">
        <v>1754.26</v>
      </c>
      <c r="R80">
        <f t="shared" si="21"/>
        <v>0.92197485704675408</v>
      </c>
      <c r="S80">
        <v>1843.56</v>
      </c>
      <c r="T80">
        <f t="shared" si="22"/>
        <v>0.96418989241800601</v>
      </c>
      <c r="U80">
        <v>572.67999999999995</v>
      </c>
      <c r="V80">
        <f t="shared" si="23"/>
        <v>0.30294277900327443</v>
      </c>
      <c r="W80">
        <v>830.86</v>
      </c>
      <c r="X80">
        <f t="shared" si="24"/>
        <v>0.95373984113136512</v>
      </c>
      <c r="Y80">
        <v>153.44999999999999</v>
      </c>
      <c r="Z80">
        <f t="shared" si="25"/>
        <v>0.16746150404330315</v>
      </c>
    </row>
    <row r="81" spans="1:26" x14ac:dyDescent="0.2">
      <c r="A81" s="1">
        <v>280.26</v>
      </c>
      <c r="B81">
        <f t="shared" si="13"/>
        <v>0.82567834310461652</v>
      </c>
      <c r="C81">
        <v>221.6</v>
      </c>
      <c r="D81">
        <f t="shared" si="14"/>
        <v>0.66520577552306903</v>
      </c>
      <c r="E81">
        <v>630.15</v>
      </c>
      <c r="F81">
        <f t="shared" si="15"/>
        <v>0.66044459350402984</v>
      </c>
      <c r="G81">
        <v>838.53</v>
      </c>
      <c r="H81">
        <f t="shared" si="16"/>
        <v>0.75505830444374411</v>
      </c>
      <c r="I81">
        <v>282.81</v>
      </c>
      <c r="J81">
        <f t="shared" si="17"/>
        <v>0.5649759274427153</v>
      </c>
      <c r="K81">
        <v>134.5</v>
      </c>
      <c r="L81">
        <f t="shared" si="18"/>
        <v>0.37142383740196622</v>
      </c>
      <c r="M81">
        <v>1285.01</v>
      </c>
      <c r="N81">
        <f t="shared" si="19"/>
        <v>1.0632658971494766</v>
      </c>
      <c r="O81">
        <v>875.03</v>
      </c>
      <c r="P81">
        <f t="shared" si="20"/>
        <v>0.93339520197979664</v>
      </c>
      <c r="Q81">
        <v>1776.02</v>
      </c>
      <c r="R81">
        <f t="shared" si="21"/>
        <v>0.93341111671712074</v>
      </c>
      <c r="S81">
        <v>1794.9</v>
      </c>
      <c r="T81">
        <f t="shared" si="22"/>
        <v>0.93874050093356287</v>
      </c>
      <c r="U81">
        <v>537.36</v>
      </c>
      <c r="V81">
        <f t="shared" si="23"/>
        <v>0.28425880373891099</v>
      </c>
      <c r="W81">
        <v>827.19</v>
      </c>
      <c r="X81">
        <f t="shared" si="24"/>
        <v>0.9495270673584647</v>
      </c>
      <c r="Y81">
        <v>158.09</v>
      </c>
      <c r="Z81">
        <f t="shared" si="25"/>
        <v>0.1725251819759257</v>
      </c>
    </row>
    <row r="82" spans="1:26" x14ac:dyDescent="0.2">
      <c r="A82" s="1">
        <v>279.13</v>
      </c>
      <c r="B82">
        <f t="shared" si="13"/>
        <v>0.82234923253690007</v>
      </c>
      <c r="C82">
        <v>236.44</v>
      </c>
      <c r="D82">
        <f t="shared" si="14"/>
        <v>0.7097529492990724</v>
      </c>
      <c r="E82">
        <v>636.74</v>
      </c>
      <c r="F82">
        <f t="shared" si="15"/>
        <v>0.66735140913711966</v>
      </c>
      <c r="G82">
        <v>815.47</v>
      </c>
      <c r="H82">
        <f t="shared" si="16"/>
        <v>0.73429381837828112</v>
      </c>
      <c r="I82">
        <v>296.38</v>
      </c>
      <c r="J82">
        <f t="shared" si="17"/>
        <v>0.59208502307369604</v>
      </c>
      <c r="K82">
        <v>134.41999999999999</v>
      </c>
      <c r="L82">
        <f t="shared" si="18"/>
        <v>0.37120291616038881</v>
      </c>
      <c r="M82">
        <v>1288.05</v>
      </c>
      <c r="N82">
        <f t="shared" si="19"/>
        <v>1.0657813081792231</v>
      </c>
      <c r="O82">
        <v>885.23</v>
      </c>
      <c r="P82">
        <f t="shared" si="20"/>
        <v>0.94427555015093811</v>
      </c>
      <c r="Q82">
        <v>1784.59</v>
      </c>
      <c r="R82">
        <f t="shared" si="21"/>
        <v>0.93791519508913546</v>
      </c>
      <c r="S82">
        <v>1794.43</v>
      </c>
      <c r="T82">
        <f t="shared" si="22"/>
        <v>0.93849468889086474</v>
      </c>
      <c r="U82">
        <v>495.67</v>
      </c>
      <c r="V82">
        <f t="shared" si="23"/>
        <v>0.26220515343394751</v>
      </c>
      <c r="W82">
        <v>819.97</v>
      </c>
      <c r="X82">
        <f t="shared" si="24"/>
        <v>0.94123926718398465</v>
      </c>
      <c r="Y82">
        <v>164.58</v>
      </c>
      <c r="Z82">
        <f t="shared" si="25"/>
        <v>0.17960778322220161</v>
      </c>
    </row>
    <row r="83" spans="1:26" x14ac:dyDescent="0.2">
      <c r="A83" s="1">
        <v>248.22</v>
      </c>
      <c r="B83">
        <f t="shared" si="13"/>
        <v>0.73128480098989479</v>
      </c>
      <c r="C83">
        <v>242.44</v>
      </c>
      <c r="D83">
        <f t="shared" si="14"/>
        <v>0.72776393600096057</v>
      </c>
      <c r="E83">
        <v>660.7</v>
      </c>
      <c r="F83">
        <f t="shared" si="15"/>
        <v>0.6924632911657741</v>
      </c>
      <c r="G83">
        <v>801.06</v>
      </c>
      <c r="H83">
        <f t="shared" si="16"/>
        <v>0.72131826572419067</v>
      </c>
      <c r="I83">
        <v>297.95</v>
      </c>
      <c r="J83">
        <f t="shared" si="17"/>
        <v>0.59522144754979323</v>
      </c>
      <c r="K83">
        <v>135.88</v>
      </c>
      <c r="L83">
        <f t="shared" si="18"/>
        <v>0.37523472881917597</v>
      </c>
      <c r="M83">
        <v>1272.3900000000001</v>
      </c>
      <c r="N83">
        <f t="shared" si="19"/>
        <v>1.0528236316246744</v>
      </c>
      <c r="O83">
        <v>881.21</v>
      </c>
      <c r="P83">
        <f t="shared" si="20"/>
        <v>0.93998741293054711</v>
      </c>
      <c r="Q83">
        <v>1768.05</v>
      </c>
      <c r="R83">
        <f t="shared" si="21"/>
        <v>0.92922237638748739</v>
      </c>
      <c r="S83">
        <v>1797.45</v>
      </c>
      <c r="T83">
        <f t="shared" si="22"/>
        <v>0.94007416201628635</v>
      </c>
      <c r="U83">
        <v>498.58</v>
      </c>
      <c r="V83">
        <f t="shared" si="23"/>
        <v>0.26374451832690604</v>
      </c>
      <c r="W83">
        <v>784.06</v>
      </c>
      <c r="X83">
        <f t="shared" si="24"/>
        <v>0.90001836631617615</v>
      </c>
      <c r="Y83">
        <v>168.67</v>
      </c>
      <c r="Z83">
        <f t="shared" si="25"/>
        <v>0.18407124071022446</v>
      </c>
    </row>
    <row r="84" spans="1:26" x14ac:dyDescent="0.2">
      <c r="A84" s="1">
        <v>246.46</v>
      </c>
      <c r="B84">
        <f t="shared" si="13"/>
        <v>0.72609963762778773</v>
      </c>
      <c r="C84">
        <v>258.57</v>
      </c>
      <c r="D84">
        <f t="shared" si="14"/>
        <v>0.77618347191786985</v>
      </c>
      <c r="E84">
        <v>684.08</v>
      </c>
      <c r="F84">
        <f t="shared" si="15"/>
        <v>0.71696728957269973</v>
      </c>
      <c r="G84">
        <v>775.87</v>
      </c>
      <c r="H84">
        <f t="shared" si="16"/>
        <v>0.69863581108459771</v>
      </c>
      <c r="I84">
        <v>310</v>
      </c>
      <c r="J84">
        <f t="shared" si="17"/>
        <v>0.61929400483448871</v>
      </c>
      <c r="K84">
        <v>150.27000000000001</v>
      </c>
      <c r="L84">
        <f t="shared" si="18"/>
        <v>0.41497293714790678</v>
      </c>
      <c r="M84">
        <v>1241.75</v>
      </c>
      <c r="N84">
        <f t="shared" si="19"/>
        <v>1.0274709362459145</v>
      </c>
      <c r="O84">
        <v>893.3</v>
      </c>
      <c r="P84">
        <f t="shared" si="20"/>
        <v>0.95288382561575291</v>
      </c>
      <c r="Q84">
        <v>1756.54</v>
      </c>
      <c r="R84">
        <f t="shared" si="21"/>
        <v>0.9231731416078035</v>
      </c>
      <c r="S84">
        <v>1750.47</v>
      </c>
      <c r="T84">
        <f t="shared" si="22"/>
        <v>0.91550341783340228</v>
      </c>
      <c r="U84">
        <v>504.68</v>
      </c>
      <c r="V84">
        <f t="shared" si="23"/>
        <v>0.26697136569702545</v>
      </c>
      <c r="W84">
        <v>707.03</v>
      </c>
      <c r="X84">
        <f t="shared" si="24"/>
        <v>0.81159603287570592</v>
      </c>
      <c r="Y84">
        <v>167.78</v>
      </c>
      <c r="Z84">
        <f t="shared" si="25"/>
        <v>0.18309997489987231</v>
      </c>
    </row>
    <row r="85" spans="1:26" x14ac:dyDescent="0.2">
      <c r="A85" s="1">
        <v>229.76</v>
      </c>
      <c r="B85">
        <f t="shared" si="13"/>
        <v>0.67689950799870369</v>
      </c>
      <c r="C85">
        <v>274.3</v>
      </c>
      <c r="D85">
        <f t="shared" si="14"/>
        <v>0.82340227538798672</v>
      </c>
      <c r="E85">
        <v>689.63</v>
      </c>
      <c r="F85">
        <f t="shared" si="15"/>
        <v>0.72278410698751738</v>
      </c>
      <c r="G85">
        <v>743.31</v>
      </c>
      <c r="H85">
        <f t="shared" si="16"/>
        <v>0.66931700508756919</v>
      </c>
      <c r="I85">
        <v>309.54000000000002</v>
      </c>
      <c r="J85">
        <f t="shared" si="17"/>
        <v>0.61837505244021818</v>
      </c>
      <c r="K85">
        <v>169.18</v>
      </c>
      <c r="L85">
        <f t="shared" si="18"/>
        <v>0.46719319562575945</v>
      </c>
      <c r="M85">
        <v>1216.5</v>
      </c>
      <c r="N85">
        <f t="shared" si="19"/>
        <v>1.0065781308179222</v>
      </c>
      <c r="O85">
        <v>880.93</v>
      </c>
      <c r="P85">
        <f t="shared" si="20"/>
        <v>0.9396887367062412</v>
      </c>
      <c r="Q85">
        <v>1754.95</v>
      </c>
      <c r="R85">
        <f t="shared" si="21"/>
        <v>0.92233749579549273</v>
      </c>
      <c r="S85">
        <v>1712.44</v>
      </c>
      <c r="T85">
        <f t="shared" si="22"/>
        <v>0.89561356254870483</v>
      </c>
      <c r="U85">
        <v>529.39</v>
      </c>
      <c r="V85">
        <f t="shared" si="23"/>
        <v>0.28004274250286976</v>
      </c>
      <c r="W85">
        <v>701.18</v>
      </c>
      <c r="X85">
        <f t="shared" si="24"/>
        <v>0.80488084852380726</v>
      </c>
      <c r="Y85">
        <v>174.65</v>
      </c>
      <c r="Z85">
        <f t="shared" si="25"/>
        <v>0.19059727390787162</v>
      </c>
    </row>
    <row r="86" spans="1:26" x14ac:dyDescent="0.2">
      <c r="A86" s="1">
        <v>228.55</v>
      </c>
      <c r="B86">
        <f t="shared" si="13"/>
        <v>0.67333470818725516</v>
      </c>
      <c r="C86">
        <v>285.05</v>
      </c>
      <c r="D86">
        <f t="shared" si="14"/>
        <v>0.85567195989553635</v>
      </c>
      <c r="E86">
        <v>692.1</v>
      </c>
      <c r="F86">
        <f t="shared" si="15"/>
        <v>0.72537285275591379</v>
      </c>
      <c r="G86">
        <v>659.32</v>
      </c>
      <c r="H86">
        <f t="shared" si="16"/>
        <v>0.59368781234523438</v>
      </c>
      <c r="I86">
        <v>314.73</v>
      </c>
      <c r="J86">
        <f t="shared" si="17"/>
        <v>0.62874323271470534</v>
      </c>
      <c r="K86">
        <v>187.91</v>
      </c>
      <c r="L86">
        <f t="shared" si="18"/>
        <v>0.5189163813100629</v>
      </c>
      <c r="M86">
        <v>1191.22</v>
      </c>
      <c r="N86">
        <f t="shared" si="19"/>
        <v>0.9856605022547682</v>
      </c>
      <c r="O86">
        <v>855.79</v>
      </c>
      <c r="P86">
        <f t="shared" si="20"/>
        <v>0.91287187856678076</v>
      </c>
      <c r="Q86">
        <v>1709.8</v>
      </c>
      <c r="R86">
        <f t="shared" si="21"/>
        <v>0.89860830810628989</v>
      </c>
      <c r="S86">
        <v>1684</v>
      </c>
      <c r="T86">
        <f t="shared" si="22"/>
        <v>0.88073931894374047</v>
      </c>
      <c r="U86">
        <v>507.19</v>
      </c>
      <c r="V86">
        <f t="shared" si="23"/>
        <v>0.26829913404112377</v>
      </c>
      <c r="W86">
        <v>705.88</v>
      </c>
      <c r="X86">
        <f t="shared" si="24"/>
        <v>0.81027595390054641</v>
      </c>
      <c r="Y86">
        <v>177.12</v>
      </c>
      <c r="Z86">
        <f t="shared" si="25"/>
        <v>0.1932928093590737</v>
      </c>
    </row>
    <row r="87" spans="1:26" x14ac:dyDescent="0.2">
      <c r="A87" s="1">
        <v>218.31</v>
      </c>
      <c r="B87">
        <f t="shared" si="13"/>
        <v>0.64316648498954132</v>
      </c>
      <c r="C87">
        <v>287.3</v>
      </c>
      <c r="D87">
        <f t="shared" si="14"/>
        <v>0.86242607990874443</v>
      </c>
      <c r="E87">
        <v>665.53</v>
      </c>
      <c r="F87">
        <f t="shared" si="15"/>
        <v>0.6975254944294802</v>
      </c>
      <c r="G87">
        <v>663.56</v>
      </c>
      <c r="H87">
        <f t="shared" si="16"/>
        <v>0.59750574039890147</v>
      </c>
      <c r="I87">
        <v>292.06</v>
      </c>
      <c r="J87">
        <f t="shared" si="17"/>
        <v>0.58345486145793801</v>
      </c>
      <c r="K87">
        <v>204.79</v>
      </c>
      <c r="L87">
        <f t="shared" si="18"/>
        <v>0.56553076328288965</v>
      </c>
      <c r="M87">
        <v>1156.28</v>
      </c>
      <c r="N87">
        <f t="shared" si="19"/>
        <v>0.95674982416945931</v>
      </c>
      <c r="O87">
        <v>840.31</v>
      </c>
      <c r="P87">
        <f t="shared" si="20"/>
        <v>0.89635935016587187</v>
      </c>
      <c r="Q87">
        <v>1690.55</v>
      </c>
      <c r="R87">
        <f t="shared" si="21"/>
        <v>0.88849121257988561</v>
      </c>
      <c r="S87">
        <v>1701.65</v>
      </c>
      <c r="T87">
        <f t="shared" si="22"/>
        <v>0.88997034565357247</v>
      </c>
      <c r="U87">
        <v>480.19</v>
      </c>
      <c r="V87">
        <f t="shared" si="23"/>
        <v>0.25401636699305435</v>
      </c>
      <c r="W87">
        <v>695.56</v>
      </c>
      <c r="X87">
        <f t="shared" si="24"/>
        <v>0.79842967996694059</v>
      </c>
      <c r="Y87">
        <v>182.66</v>
      </c>
      <c r="Z87">
        <f t="shared" si="25"/>
        <v>0.1993386662010411</v>
      </c>
    </row>
    <row r="88" spans="1:26" x14ac:dyDescent="0.2">
      <c r="A88" s="1">
        <v>223.57</v>
      </c>
      <c r="B88">
        <f t="shared" si="13"/>
        <v>0.65866305276492942</v>
      </c>
      <c r="C88">
        <v>291.91000000000003</v>
      </c>
      <c r="D88">
        <f t="shared" si="14"/>
        <v>0.87626452135802846</v>
      </c>
      <c r="E88">
        <v>663.4</v>
      </c>
      <c r="F88">
        <f t="shared" si="15"/>
        <v>0.69529309423244212</v>
      </c>
      <c r="G88">
        <v>683.7</v>
      </c>
      <c r="H88">
        <f t="shared" si="16"/>
        <v>0.61564089865382021</v>
      </c>
      <c r="I88">
        <v>274.52</v>
      </c>
      <c r="J88">
        <f t="shared" si="17"/>
        <v>0.54841480711988333</v>
      </c>
      <c r="K88">
        <v>215.17</v>
      </c>
      <c r="L88">
        <f t="shared" si="18"/>
        <v>0.59419529437755436</v>
      </c>
      <c r="M88">
        <v>1096.8</v>
      </c>
      <c r="N88">
        <f t="shared" si="19"/>
        <v>0.90753382152165818</v>
      </c>
      <c r="O88">
        <v>838.51</v>
      </c>
      <c r="P88">
        <f t="shared" si="20"/>
        <v>0.89443928872390577</v>
      </c>
      <c r="Q88">
        <v>1656.52</v>
      </c>
      <c r="R88">
        <f t="shared" si="21"/>
        <v>0.87060628994281863</v>
      </c>
      <c r="S88">
        <v>1676.47</v>
      </c>
      <c r="T88">
        <f t="shared" si="22"/>
        <v>0.87680109621710955</v>
      </c>
      <c r="U88">
        <v>483.16</v>
      </c>
      <c r="V88">
        <f t="shared" si="23"/>
        <v>0.25558747136834198</v>
      </c>
      <c r="W88">
        <v>703.6</v>
      </c>
      <c r="X88">
        <f t="shared" si="24"/>
        <v>0.8076587538454475</v>
      </c>
      <c r="Y88">
        <v>189.09</v>
      </c>
      <c r="Z88">
        <f t="shared" si="25"/>
        <v>0.20635578885336067</v>
      </c>
    </row>
    <row r="89" spans="1:26" x14ac:dyDescent="0.2">
      <c r="A89" s="1">
        <v>219.11</v>
      </c>
      <c r="B89">
        <f t="shared" si="13"/>
        <v>0.64552337742686272</v>
      </c>
      <c r="C89">
        <v>301.27999999999997</v>
      </c>
      <c r="D89">
        <f t="shared" si="14"/>
        <v>0.90439167892414363</v>
      </c>
      <c r="E89">
        <v>662.36</v>
      </c>
      <c r="F89">
        <f t="shared" si="15"/>
        <v>0.69420309601416996</v>
      </c>
      <c r="G89">
        <v>640.44000000000005</v>
      </c>
      <c r="H89">
        <f t="shared" si="16"/>
        <v>0.57668722704966013</v>
      </c>
      <c r="I89">
        <v>262.63</v>
      </c>
      <c r="J89">
        <f t="shared" si="17"/>
        <v>0.52466188545058634</v>
      </c>
      <c r="K89">
        <v>219.98</v>
      </c>
      <c r="L89">
        <f t="shared" si="18"/>
        <v>0.60747818402739417</v>
      </c>
      <c r="M89">
        <v>1010.25</v>
      </c>
      <c r="N89">
        <f t="shared" si="19"/>
        <v>0.83591907657937203</v>
      </c>
      <c r="O89">
        <v>836.77</v>
      </c>
      <c r="P89">
        <f t="shared" si="20"/>
        <v>0.89258322933000522</v>
      </c>
      <c r="Q89">
        <v>1648.44</v>
      </c>
      <c r="R89">
        <f t="shared" si="21"/>
        <v>0.86635973763874874</v>
      </c>
      <c r="S89">
        <v>1664.29</v>
      </c>
      <c r="T89">
        <f t="shared" si="22"/>
        <v>0.8704309032808063</v>
      </c>
      <c r="U89">
        <v>504.55</v>
      </c>
      <c r="V89">
        <f t="shared" si="23"/>
        <v>0.26690259681864587</v>
      </c>
      <c r="W89">
        <v>741.98</v>
      </c>
      <c r="X89">
        <f t="shared" si="24"/>
        <v>0.85171495477294645</v>
      </c>
      <c r="Y89">
        <v>190.81</v>
      </c>
      <c r="Z89">
        <f t="shared" si="25"/>
        <v>0.20823284188010868</v>
      </c>
    </row>
    <row r="90" spans="1:26" x14ac:dyDescent="0.2">
      <c r="A90" s="1">
        <v>197.22</v>
      </c>
      <c r="B90">
        <f t="shared" si="13"/>
        <v>0.58103290811065611</v>
      </c>
      <c r="C90">
        <v>306.43</v>
      </c>
      <c r="D90">
        <f t="shared" si="14"/>
        <v>0.91985110917659774</v>
      </c>
      <c r="E90">
        <v>654.44000000000005</v>
      </c>
      <c r="F90">
        <f t="shared" si="15"/>
        <v>0.68590234035194375</v>
      </c>
      <c r="G90">
        <v>603.37</v>
      </c>
      <c r="H90">
        <f t="shared" si="16"/>
        <v>0.54330737022196207</v>
      </c>
      <c r="I90">
        <v>263.04000000000002</v>
      </c>
      <c r="J90">
        <f t="shared" si="17"/>
        <v>0.52548095171504494</v>
      </c>
      <c r="K90">
        <v>213.67</v>
      </c>
      <c r="L90">
        <f t="shared" si="18"/>
        <v>0.59005302109797853</v>
      </c>
      <c r="M90">
        <v>907.98</v>
      </c>
      <c r="N90">
        <f t="shared" si="19"/>
        <v>0.75129700881221306</v>
      </c>
      <c r="O90">
        <v>848.81</v>
      </c>
      <c r="P90">
        <f t="shared" si="20"/>
        <v>0.90542630697515647</v>
      </c>
      <c r="Q90">
        <v>1653.53</v>
      </c>
      <c r="R90">
        <f t="shared" si="21"/>
        <v>0.86903485536495118</v>
      </c>
      <c r="S90">
        <v>1624.07</v>
      </c>
      <c r="T90">
        <f t="shared" si="22"/>
        <v>0.84939566847800507</v>
      </c>
      <c r="U90">
        <v>524.91999999999996</v>
      </c>
      <c r="V90">
        <f t="shared" si="23"/>
        <v>0.27767815106935601</v>
      </c>
      <c r="W90">
        <v>787.78</v>
      </c>
      <c r="X90">
        <f t="shared" si="24"/>
        <v>0.90428853482712701</v>
      </c>
      <c r="Y90">
        <v>195.82</v>
      </c>
      <c r="Z90">
        <f t="shared" si="25"/>
        <v>0.21370030447546187</v>
      </c>
    </row>
    <row r="91" spans="1:26" x14ac:dyDescent="0.2">
      <c r="A91" s="1">
        <v>179.38</v>
      </c>
      <c r="B91">
        <f t="shared" si="13"/>
        <v>0.52847420675838908</v>
      </c>
      <c r="C91">
        <v>323.14999999999998</v>
      </c>
      <c r="D91">
        <f t="shared" si="14"/>
        <v>0.97004172545252598</v>
      </c>
      <c r="E91">
        <v>649.14</v>
      </c>
      <c r="F91">
        <f t="shared" si="15"/>
        <v>0.68034754173959522</v>
      </c>
      <c r="G91">
        <v>588.63</v>
      </c>
      <c r="H91">
        <f t="shared" si="16"/>
        <v>0.53003466750709105</v>
      </c>
      <c r="I91">
        <v>269.08</v>
      </c>
      <c r="J91">
        <f t="shared" si="17"/>
        <v>0.53754719619633617</v>
      </c>
      <c r="K91">
        <v>208.82</v>
      </c>
      <c r="L91">
        <f t="shared" si="18"/>
        <v>0.57665967082735003</v>
      </c>
      <c r="M91">
        <v>896.94</v>
      </c>
      <c r="N91">
        <f t="shared" si="19"/>
        <v>0.74216209507260777</v>
      </c>
      <c r="O91">
        <v>862.78</v>
      </c>
      <c r="P91">
        <f t="shared" si="20"/>
        <v>0.92032811716641594</v>
      </c>
      <c r="Q91">
        <v>1712.15</v>
      </c>
      <c r="R91">
        <f t="shared" si="21"/>
        <v>0.89984338210561721</v>
      </c>
      <c r="S91">
        <v>1606.03</v>
      </c>
      <c r="T91">
        <f t="shared" si="22"/>
        <v>0.83996067007316833</v>
      </c>
      <c r="U91">
        <v>544.37</v>
      </c>
      <c r="V91">
        <f t="shared" si="23"/>
        <v>0.28796703325768758</v>
      </c>
      <c r="W91">
        <v>800.05</v>
      </c>
      <c r="X91">
        <f t="shared" si="24"/>
        <v>0.91837320354469898</v>
      </c>
      <c r="Y91">
        <v>193.92</v>
      </c>
      <c r="Z91">
        <f t="shared" si="25"/>
        <v>0.21162681566684488</v>
      </c>
    </row>
    <row r="92" spans="1:26" x14ac:dyDescent="0.2">
      <c r="A92" s="1">
        <v>171.72</v>
      </c>
      <c r="B92">
        <f t="shared" si="13"/>
        <v>0.50590696167103677</v>
      </c>
      <c r="C92">
        <v>330.22</v>
      </c>
      <c r="D92">
        <f t="shared" si="14"/>
        <v>0.9912646714495843</v>
      </c>
      <c r="E92">
        <v>634.05999999999995</v>
      </c>
      <c r="F92">
        <f t="shared" si="15"/>
        <v>0.66454256757464913</v>
      </c>
      <c r="G92">
        <v>590.19000000000005</v>
      </c>
      <c r="H92">
        <f t="shared" si="16"/>
        <v>0.53143937688532716</v>
      </c>
      <c r="I92">
        <v>276.04000000000002</v>
      </c>
      <c r="J92">
        <f t="shared" si="17"/>
        <v>0.55145134546616859</v>
      </c>
      <c r="K92">
        <v>186.24</v>
      </c>
      <c r="L92">
        <f t="shared" si="18"/>
        <v>0.51430465039213524</v>
      </c>
      <c r="M92">
        <v>859.5</v>
      </c>
      <c r="N92">
        <f t="shared" si="19"/>
        <v>0.71118282239046793</v>
      </c>
      <c r="O92">
        <v>880.73</v>
      </c>
      <c r="P92">
        <f t="shared" si="20"/>
        <v>0.93947539654602275</v>
      </c>
      <c r="Q92">
        <v>1753.69</v>
      </c>
      <c r="R92">
        <f t="shared" si="21"/>
        <v>0.92167528590649173</v>
      </c>
      <c r="S92">
        <v>1595.11</v>
      </c>
      <c r="T92">
        <f t="shared" si="22"/>
        <v>0.83424946261303423</v>
      </c>
      <c r="U92">
        <v>564.57000000000005</v>
      </c>
      <c r="V92">
        <f t="shared" si="23"/>
        <v>0.2986526589751321</v>
      </c>
      <c r="W92">
        <v>777.92</v>
      </c>
      <c r="X92">
        <f t="shared" si="24"/>
        <v>0.89297029248358506</v>
      </c>
      <c r="Y92">
        <v>211.55</v>
      </c>
      <c r="Z92">
        <f t="shared" si="25"/>
        <v>0.23086660919101198</v>
      </c>
    </row>
    <row r="93" spans="1:26" x14ac:dyDescent="0.2">
      <c r="A93" s="1">
        <v>177.3</v>
      </c>
      <c r="B93">
        <f t="shared" si="13"/>
        <v>0.5223462864213535</v>
      </c>
      <c r="C93">
        <v>322.95999999999998</v>
      </c>
      <c r="D93">
        <f t="shared" si="14"/>
        <v>0.96947137754029955</v>
      </c>
      <c r="E93">
        <v>632.92999999999995</v>
      </c>
      <c r="F93">
        <f t="shared" si="15"/>
        <v>0.66335824258748799</v>
      </c>
      <c r="G93">
        <v>564.66999999999996</v>
      </c>
      <c r="H93">
        <f t="shared" si="16"/>
        <v>0.50845977218495342</v>
      </c>
      <c r="I93">
        <v>300.5</v>
      </c>
      <c r="J93">
        <f t="shared" si="17"/>
        <v>0.600315640170206</v>
      </c>
      <c r="K93">
        <v>168.97</v>
      </c>
      <c r="L93">
        <f t="shared" si="18"/>
        <v>0.46661327736661878</v>
      </c>
      <c r="M93">
        <v>806.17</v>
      </c>
      <c r="N93">
        <f t="shared" si="19"/>
        <v>0.66705556245087083</v>
      </c>
      <c r="O93">
        <v>912.4</v>
      </c>
      <c r="P93">
        <f t="shared" si="20"/>
        <v>0.9732578109166159</v>
      </c>
      <c r="Q93">
        <v>1789.59</v>
      </c>
      <c r="R93">
        <f t="shared" si="21"/>
        <v>0.94054301210898072</v>
      </c>
      <c r="S93">
        <v>1563.9</v>
      </c>
      <c r="T93">
        <f t="shared" si="22"/>
        <v>0.81792649696918984</v>
      </c>
      <c r="U93">
        <v>545.66</v>
      </c>
      <c r="V93">
        <f t="shared" si="23"/>
        <v>0.28864943212776195</v>
      </c>
      <c r="W93">
        <v>813.06</v>
      </c>
      <c r="X93">
        <f t="shared" si="24"/>
        <v>0.93330731438541714</v>
      </c>
      <c r="Y93">
        <v>235.45</v>
      </c>
      <c r="Z93">
        <f t="shared" si="25"/>
        <v>0.25694891578361506</v>
      </c>
    </row>
    <row r="94" spans="1:26" x14ac:dyDescent="0.2">
      <c r="A94" s="1">
        <v>174.6</v>
      </c>
      <c r="B94">
        <f t="shared" si="13"/>
        <v>0.51439177444539375</v>
      </c>
      <c r="C94">
        <v>329.66</v>
      </c>
      <c r="D94">
        <f t="shared" si="14"/>
        <v>0.98958364602407478</v>
      </c>
      <c r="E94">
        <v>640.36</v>
      </c>
      <c r="F94">
        <f t="shared" si="15"/>
        <v>0.67114544139687471</v>
      </c>
      <c r="G94">
        <v>555.87</v>
      </c>
      <c r="H94">
        <f t="shared" si="16"/>
        <v>0.5005357705641349</v>
      </c>
      <c r="I94">
        <v>294.22000000000003</v>
      </c>
      <c r="J94">
        <f t="shared" si="17"/>
        <v>0.58776994226581702</v>
      </c>
      <c r="K94">
        <v>159.47</v>
      </c>
      <c r="L94">
        <f t="shared" si="18"/>
        <v>0.44037887992930519</v>
      </c>
      <c r="M94">
        <v>781.59</v>
      </c>
      <c r="N94">
        <f t="shared" si="19"/>
        <v>0.64671714037482941</v>
      </c>
      <c r="O94">
        <v>930.4</v>
      </c>
      <c r="P94">
        <f t="shared" si="20"/>
        <v>0.99245842533627737</v>
      </c>
      <c r="Q94">
        <v>1810.06</v>
      </c>
      <c r="R94">
        <f t="shared" si="21"/>
        <v>0.95130129498822735</v>
      </c>
      <c r="S94">
        <v>1524.36</v>
      </c>
      <c r="T94">
        <f t="shared" si="22"/>
        <v>0.79724690512178154</v>
      </c>
      <c r="U94">
        <v>541.80999999999995</v>
      </c>
      <c r="V94">
        <f t="shared" si="23"/>
        <v>0.28661281534498168</v>
      </c>
      <c r="W94">
        <v>842.5</v>
      </c>
      <c r="X94">
        <f t="shared" si="24"/>
        <v>0.96710133614950189</v>
      </c>
      <c r="Y94">
        <v>231</v>
      </c>
      <c r="Z94">
        <f t="shared" si="25"/>
        <v>0.25209258673185425</v>
      </c>
    </row>
    <row r="95" spans="1:26" x14ac:dyDescent="0.2">
      <c r="A95" s="1">
        <v>169.41</v>
      </c>
      <c r="B95">
        <f t="shared" si="13"/>
        <v>0.49910143475827118</v>
      </c>
      <c r="C95">
        <v>328.26</v>
      </c>
      <c r="D95">
        <f t="shared" si="14"/>
        <v>0.98538108246030076</v>
      </c>
      <c r="E95">
        <v>665.46</v>
      </c>
      <c r="F95">
        <f t="shared" si="15"/>
        <v>0.69745212916478894</v>
      </c>
      <c r="G95">
        <v>543.64</v>
      </c>
      <c r="H95">
        <f t="shared" si="16"/>
        <v>0.48952320922065645</v>
      </c>
      <c r="I95">
        <v>299</v>
      </c>
      <c r="J95">
        <f t="shared" si="17"/>
        <v>0.59731905627584558</v>
      </c>
      <c r="K95">
        <v>152.34</v>
      </c>
      <c r="L95">
        <f t="shared" si="18"/>
        <v>0.42068927427372144</v>
      </c>
      <c r="M95">
        <v>727.92</v>
      </c>
      <c r="N95">
        <f t="shared" si="19"/>
        <v>0.60230855157006324</v>
      </c>
      <c r="O95">
        <v>924.45</v>
      </c>
      <c r="P95">
        <f t="shared" si="20"/>
        <v>0.98611155556977825</v>
      </c>
      <c r="Q95">
        <v>1838.74</v>
      </c>
      <c r="R95">
        <f t="shared" si="21"/>
        <v>0.96637445341405981</v>
      </c>
      <c r="S95">
        <v>1489.81</v>
      </c>
      <c r="T95">
        <f t="shared" si="22"/>
        <v>0.7791771049617422</v>
      </c>
      <c r="U95">
        <v>524.76</v>
      </c>
      <c r="V95">
        <f t="shared" si="23"/>
        <v>0.2775935124498119</v>
      </c>
      <c r="W95">
        <v>867.08</v>
      </c>
      <c r="X95">
        <f t="shared" si="24"/>
        <v>0.99531658937508616</v>
      </c>
      <c r="Y95">
        <v>224.36</v>
      </c>
      <c r="Z95">
        <f t="shared" si="25"/>
        <v>0.24484628900068753</v>
      </c>
    </row>
    <row r="96" spans="1:26" x14ac:dyDescent="0.2">
      <c r="A96" s="1">
        <v>160.99</v>
      </c>
      <c r="B96">
        <f t="shared" si="13"/>
        <v>0.47429514185546356</v>
      </c>
      <c r="C96">
        <v>322.37</v>
      </c>
      <c r="D96">
        <f t="shared" si="14"/>
        <v>0.96770029718128059</v>
      </c>
      <c r="E96">
        <v>660.31</v>
      </c>
      <c r="F96">
        <f t="shared" si="15"/>
        <v>0.6920545418339219</v>
      </c>
      <c r="G96">
        <v>528.77</v>
      </c>
      <c r="H96">
        <f t="shared" si="16"/>
        <v>0.47613344739093244</v>
      </c>
      <c r="I96">
        <v>308.08999999999997</v>
      </c>
      <c r="J96">
        <f t="shared" si="17"/>
        <v>0.61547835467566969</v>
      </c>
      <c r="K96">
        <v>145.56</v>
      </c>
      <c r="L96">
        <f t="shared" si="18"/>
        <v>0.40196619905003866</v>
      </c>
      <c r="M96">
        <v>729.45</v>
      </c>
      <c r="N96">
        <f t="shared" si="19"/>
        <v>0.60357453146332385</v>
      </c>
      <c r="O96">
        <v>926.33</v>
      </c>
      <c r="P96">
        <f t="shared" si="20"/>
        <v>0.98811695307583181</v>
      </c>
      <c r="Q96">
        <v>1826.56</v>
      </c>
      <c r="R96">
        <f t="shared" si="21"/>
        <v>0.95997309115371676</v>
      </c>
      <c r="S96">
        <v>1472.51</v>
      </c>
      <c r="T96">
        <f t="shared" si="22"/>
        <v>0.77012912977306847</v>
      </c>
      <c r="U96">
        <v>503.64</v>
      </c>
      <c r="V96">
        <f t="shared" si="23"/>
        <v>0.26642121466998869</v>
      </c>
      <c r="W96">
        <v>860.2</v>
      </c>
      <c r="X96">
        <f t="shared" si="24"/>
        <v>0.98741907341934898</v>
      </c>
      <c r="Y96">
        <v>221.02</v>
      </c>
      <c r="Z96">
        <f t="shared" si="25"/>
        <v>0.24120131393711872</v>
      </c>
    </row>
    <row r="97" spans="1:26" x14ac:dyDescent="0.2">
      <c r="A97" s="1">
        <v>148.59</v>
      </c>
      <c r="B97">
        <f t="shared" si="13"/>
        <v>0.43776330907698202</v>
      </c>
      <c r="C97">
        <v>333.13</v>
      </c>
      <c r="D97">
        <f t="shared" si="14"/>
        <v>1</v>
      </c>
      <c r="E97">
        <v>667.1</v>
      </c>
      <c r="F97">
        <f>E97/954.13</f>
        <v>0.6991709725089873</v>
      </c>
      <c r="G97">
        <v>503.64</v>
      </c>
      <c r="H97">
        <f t="shared" si="16"/>
        <v>0.45350502003511772</v>
      </c>
      <c r="I97">
        <v>309.38</v>
      </c>
      <c r="J97">
        <f t="shared" si="17"/>
        <v>0.61805541682481968</v>
      </c>
      <c r="K97">
        <v>134.99</v>
      </c>
      <c r="L97">
        <f t="shared" si="18"/>
        <v>0.37277698000662768</v>
      </c>
      <c r="M97">
        <v>761.7</v>
      </c>
      <c r="N97">
        <f t="shared" si="19"/>
        <v>0.63025940176244266</v>
      </c>
      <c r="O97">
        <v>937.47</v>
      </c>
      <c r="P97">
        <f t="shared" si="20"/>
        <v>1</v>
      </c>
      <c r="Q97">
        <v>1818.08</v>
      </c>
      <c r="R97">
        <f t="shared" si="21"/>
        <v>0.9555163134880591</v>
      </c>
      <c r="S97">
        <v>1349.83</v>
      </c>
      <c r="T97">
        <f t="shared" si="22"/>
        <v>0.7059669565854092</v>
      </c>
      <c r="U97">
        <v>506.91</v>
      </c>
      <c r="V97">
        <f t="shared" si="23"/>
        <v>0.26815101645692158</v>
      </c>
      <c r="W97">
        <v>871.16</v>
      </c>
      <c r="X97">
        <f>W97/871.16</f>
        <v>1</v>
      </c>
      <c r="Y97">
        <v>236.17</v>
      </c>
      <c r="Z97">
        <f t="shared" si="25"/>
        <v>0.25773465891109093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7791-EF05-4B7F-8F6A-BB30014B9F07}">
  <dimension ref="A1:Z97"/>
  <sheetViews>
    <sheetView tabSelected="1" zoomScale="115" zoomScaleNormal="115" workbookViewId="0">
      <selection activeCell="AB6" sqref="AB6"/>
    </sheetView>
  </sheetViews>
  <sheetFormatPr defaultRowHeight="14.25" x14ac:dyDescent="0.2"/>
  <sheetData>
    <row r="1" spans="1:26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</row>
    <row r="2" spans="1:26" x14ac:dyDescent="0.2">
      <c r="A2" s="3">
        <v>0</v>
      </c>
      <c r="B2">
        <f>A2/2341.947</f>
        <v>0</v>
      </c>
      <c r="C2" s="3">
        <v>0</v>
      </c>
      <c r="D2">
        <f>C2/535.76</f>
        <v>0</v>
      </c>
      <c r="E2" s="3">
        <v>0</v>
      </c>
      <c r="F2">
        <f>E2/1430.621</f>
        <v>0</v>
      </c>
      <c r="G2" s="3">
        <v>0</v>
      </c>
      <c r="H2">
        <f>G2/876.564</f>
        <v>0</v>
      </c>
      <c r="I2" s="3">
        <v>0</v>
      </c>
      <c r="J2">
        <f>I2/2262.585</f>
        <v>0</v>
      </c>
      <c r="K2" s="3">
        <v>0</v>
      </c>
      <c r="L2">
        <f>K2/2312.675</f>
        <v>0</v>
      </c>
      <c r="M2" s="3">
        <v>0</v>
      </c>
      <c r="N2">
        <f>M2/569.602</f>
        <v>0</v>
      </c>
      <c r="O2" s="2">
        <v>0</v>
      </c>
      <c r="P2">
        <f>O2/341.36</f>
        <v>0</v>
      </c>
      <c r="Q2" s="2">
        <v>0</v>
      </c>
      <c r="R2">
        <f>Q2/2591.01</f>
        <v>0</v>
      </c>
      <c r="S2" s="2">
        <v>0</v>
      </c>
      <c r="T2">
        <f>S2/981.09</f>
        <v>0</v>
      </c>
      <c r="U2" s="2">
        <v>0</v>
      </c>
      <c r="V2">
        <f>U2/514.49</f>
        <v>0</v>
      </c>
      <c r="W2" s="2">
        <v>0</v>
      </c>
      <c r="X2">
        <f>W2/221.42</f>
        <v>0</v>
      </c>
      <c r="Y2" s="2">
        <v>0</v>
      </c>
      <c r="Z2">
        <f>Y2/1378.78</f>
        <v>0</v>
      </c>
    </row>
    <row r="3" spans="1:26" x14ac:dyDescent="0.2">
      <c r="A3" s="3">
        <v>0</v>
      </c>
      <c r="B3">
        <f t="shared" ref="B3:B66" si="0">A3/2341.947</f>
        <v>0</v>
      </c>
      <c r="C3" s="3">
        <v>0</v>
      </c>
      <c r="D3">
        <f t="shared" ref="D3:D66" si="1">C3/535.76</f>
        <v>0</v>
      </c>
      <c r="E3" s="3">
        <v>0</v>
      </c>
      <c r="F3">
        <f t="shared" ref="F3:F66" si="2">E3/1430.621</f>
        <v>0</v>
      </c>
      <c r="G3" s="3">
        <v>0</v>
      </c>
      <c r="H3">
        <f t="shared" ref="H3:H66" si="3">G3/876.564</f>
        <v>0</v>
      </c>
      <c r="I3" s="3">
        <v>0</v>
      </c>
      <c r="J3">
        <f t="shared" ref="J3:J66" si="4">I3/2262.585</f>
        <v>0</v>
      </c>
      <c r="K3" s="3">
        <v>0</v>
      </c>
      <c r="L3">
        <f t="shared" ref="L3:L66" si="5">K3/2312.675</f>
        <v>0</v>
      </c>
      <c r="M3" s="3">
        <v>0</v>
      </c>
      <c r="N3">
        <f t="shared" ref="N3:N66" si="6">M3/569.602</f>
        <v>0</v>
      </c>
      <c r="O3" s="2">
        <v>0</v>
      </c>
      <c r="P3">
        <f t="shared" ref="P3:P66" si="7">O3/341.36</f>
        <v>0</v>
      </c>
      <c r="Q3" s="2">
        <v>0</v>
      </c>
      <c r="R3">
        <f t="shared" ref="R3:R66" si="8">Q3/2591.01</f>
        <v>0</v>
      </c>
      <c r="S3" s="2">
        <v>0</v>
      </c>
      <c r="T3">
        <f t="shared" ref="T3:T66" si="9">S3/981.09</f>
        <v>0</v>
      </c>
      <c r="U3" s="2">
        <v>0</v>
      </c>
      <c r="V3">
        <f t="shared" ref="V3:V66" si="10">U3/514.49</f>
        <v>0</v>
      </c>
      <c r="W3" s="2">
        <v>0</v>
      </c>
      <c r="X3">
        <f t="shared" ref="X3:X66" si="11">W3/221.42</f>
        <v>0</v>
      </c>
      <c r="Y3" s="2">
        <v>0</v>
      </c>
      <c r="Z3">
        <f t="shared" ref="Z3:Z66" si="12">Y3/1378.78</f>
        <v>0</v>
      </c>
    </row>
    <row r="4" spans="1:26" x14ac:dyDescent="0.2">
      <c r="A4" s="3">
        <v>0</v>
      </c>
      <c r="B4">
        <f t="shared" si="0"/>
        <v>0</v>
      </c>
      <c r="C4" s="3">
        <v>0</v>
      </c>
      <c r="D4">
        <f t="shared" si="1"/>
        <v>0</v>
      </c>
      <c r="E4" s="3">
        <v>0</v>
      </c>
      <c r="F4">
        <f t="shared" si="2"/>
        <v>0</v>
      </c>
      <c r="G4" s="3">
        <v>0</v>
      </c>
      <c r="H4">
        <f t="shared" si="3"/>
        <v>0</v>
      </c>
      <c r="I4" s="3">
        <v>0</v>
      </c>
      <c r="J4">
        <f t="shared" si="4"/>
        <v>0</v>
      </c>
      <c r="K4" s="3">
        <v>0</v>
      </c>
      <c r="L4">
        <f t="shared" si="5"/>
        <v>0</v>
      </c>
      <c r="M4" s="3">
        <v>0</v>
      </c>
      <c r="N4">
        <f t="shared" si="6"/>
        <v>0</v>
      </c>
      <c r="O4" s="2">
        <v>0</v>
      </c>
      <c r="P4">
        <f t="shared" si="7"/>
        <v>0</v>
      </c>
      <c r="Q4" s="2">
        <v>0</v>
      </c>
      <c r="R4">
        <f t="shared" si="8"/>
        <v>0</v>
      </c>
      <c r="S4" s="2">
        <v>0</v>
      </c>
      <c r="T4">
        <f t="shared" si="9"/>
        <v>0</v>
      </c>
      <c r="U4" s="2">
        <v>0</v>
      </c>
      <c r="V4">
        <f t="shared" si="10"/>
        <v>0</v>
      </c>
      <c r="W4" s="2">
        <v>0</v>
      </c>
      <c r="X4">
        <f t="shared" si="11"/>
        <v>0</v>
      </c>
      <c r="Y4" s="2">
        <v>0</v>
      </c>
      <c r="Z4">
        <f t="shared" si="12"/>
        <v>0</v>
      </c>
    </row>
    <row r="5" spans="1:26" x14ac:dyDescent="0.2">
      <c r="A5" s="3">
        <v>0</v>
      </c>
      <c r="B5">
        <f t="shared" si="0"/>
        <v>0</v>
      </c>
      <c r="C5" s="3">
        <v>0</v>
      </c>
      <c r="D5">
        <f t="shared" si="1"/>
        <v>0</v>
      </c>
      <c r="E5" s="3">
        <v>0</v>
      </c>
      <c r="F5">
        <f t="shared" si="2"/>
        <v>0</v>
      </c>
      <c r="G5" s="3">
        <v>0</v>
      </c>
      <c r="H5">
        <f t="shared" si="3"/>
        <v>0</v>
      </c>
      <c r="I5" s="3">
        <v>0</v>
      </c>
      <c r="J5">
        <f t="shared" si="4"/>
        <v>0</v>
      </c>
      <c r="K5" s="3">
        <v>0</v>
      </c>
      <c r="L5">
        <f t="shared" si="5"/>
        <v>0</v>
      </c>
      <c r="M5" s="3">
        <v>0</v>
      </c>
      <c r="N5">
        <f t="shared" si="6"/>
        <v>0</v>
      </c>
      <c r="O5" s="2">
        <v>0</v>
      </c>
      <c r="P5">
        <f t="shared" si="7"/>
        <v>0</v>
      </c>
      <c r="Q5" s="2">
        <v>0</v>
      </c>
      <c r="R5">
        <f t="shared" si="8"/>
        <v>0</v>
      </c>
      <c r="S5" s="2">
        <v>0</v>
      </c>
      <c r="T5">
        <f t="shared" si="9"/>
        <v>0</v>
      </c>
      <c r="U5" s="2">
        <v>0</v>
      </c>
      <c r="V5">
        <f t="shared" si="10"/>
        <v>0</v>
      </c>
      <c r="W5" s="2">
        <v>0</v>
      </c>
      <c r="X5">
        <f t="shared" si="11"/>
        <v>0</v>
      </c>
      <c r="Y5" s="2">
        <v>0</v>
      </c>
      <c r="Z5">
        <f t="shared" si="12"/>
        <v>0</v>
      </c>
    </row>
    <row r="6" spans="1:26" x14ac:dyDescent="0.2">
      <c r="A6" s="3">
        <v>0</v>
      </c>
      <c r="B6">
        <f t="shared" si="0"/>
        <v>0</v>
      </c>
      <c r="C6" s="3">
        <v>0</v>
      </c>
      <c r="D6">
        <f t="shared" si="1"/>
        <v>0</v>
      </c>
      <c r="E6" s="3">
        <v>0</v>
      </c>
      <c r="F6">
        <f t="shared" si="2"/>
        <v>0</v>
      </c>
      <c r="G6" s="3">
        <v>0</v>
      </c>
      <c r="H6">
        <f t="shared" si="3"/>
        <v>0</v>
      </c>
      <c r="I6" s="3">
        <v>0</v>
      </c>
      <c r="J6">
        <f t="shared" si="4"/>
        <v>0</v>
      </c>
      <c r="K6" s="3">
        <v>0</v>
      </c>
      <c r="L6">
        <f t="shared" si="5"/>
        <v>0</v>
      </c>
      <c r="M6" s="3">
        <v>0</v>
      </c>
      <c r="N6">
        <f t="shared" si="6"/>
        <v>0</v>
      </c>
      <c r="O6" s="2">
        <v>0</v>
      </c>
      <c r="P6">
        <f t="shared" si="7"/>
        <v>0</v>
      </c>
      <c r="Q6" s="2">
        <v>0</v>
      </c>
      <c r="R6">
        <f t="shared" si="8"/>
        <v>0</v>
      </c>
      <c r="S6" s="2">
        <v>0</v>
      </c>
      <c r="T6">
        <f t="shared" si="9"/>
        <v>0</v>
      </c>
      <c r="U6" s="2">
        <v>0</v>
      </c>
      <c r="V6">
        <f t="shared" si="10"/>
        <v>0</v>
      </c>
      <c r="W6" s="2">
        <v>0</v>
      </c>
      <c r="X6">
        <f t="shared" si="11"/>
        <v>0</v>
      </c>
      <c r="Y6" s="2">
        <v>0</v>
      </c>
      <c r="Z6">
        <f t="shared" si="12"/>
        <v>0</v>
      </c>
    </row>
    <row r="7" spans="1:26" x14ac:dyDescent="0.2">
      <c r="A7" s="3">
        <v>0</v>
      </c>
      <c r="B7">
        <f t="shared" si="0"/>
        <v>0</v>
      </c>
      <c r="C7" s="3">
        <v>0</v>
      </c>
      <c r="D7">
        <f t="shared" si="1"/>
        <v>0</v>
      </c>
      <c r="E7" s="3">
        <v>0</v>
      </c>
      <c r="F7">
        <f t="shared" si="2"/>
        <v>0</v>
      </c>
      <c r="G7" s="3">
        <v>0</v>
      </c>
      <c r="H7">
        <f t="shared" si="3"/>
        <v>0</v>
      </c>
      <c r="I7" s="3">
        <v>0</v>
      </c>
      <c r="J7">
        <f t="shared" si="4"/>
        <v>0</v>
      </c>
      <c r="K7" s="3">
        <v>0</v>
      </c>
      <c r="L7">
        <f t="shared" si="5"/>
        <v>0</v>
      </c>
      <c r="M7" s="3">
        <v>0</v>
      </c>
      <c r="N7">
        <f t="shared" si="6"/>
        <v>0</v>
      </c>
      <c r="O7" s="2">
        <v>0</v>
      </c>
      <c r="P7">
        <f t="shared" si="7"/>
        <v>0</v>
      </c>
      <c r="Q7" s="2">
        <v>0</v>
      </c>
      <c r="R7">
        <f t="shared" si="8"/>
        <v>0</v>
      </c>
      <c r="S7" s="2">
        <v>0</v>
      </c>
      <c r="T7">
        <f t="shared" si="9"/>
        <v>0</v>
      </c>
      <c r="U7" s="2">
        <v>0</v>
      </c>
      <c r="V7">
        <f t="shared" si="10"/>
        <v>0</v>
      </c>
      <c r="W7" s="2">
        <v>0</v>
      </c>
      <c r="X7">
        <f t="shared" si="11"/>
        <v>0</v>
      </c>
      <c r="Y7" s="2">
        <v>0</v>
      </c>
      <c r="Z7">
        <f t="shared" si="12"/>
        <v>0</v>
      </c>
    </row>
    <row r="8" spans="1:26" x14ac:dyDescent="0.2">
      <c r="A8" s="3">
        <v>0</v>
      </c>
      <c r="B8">
        <f t="shared" si="0"/>
        <v>0</v>
      </c>
      <c r="C8" s="3">
        <v>0</v>
      </c>
      <c r="D8">
        <f t="shared" si="1"/>
        <v>0</v>
      </c>
      <c r="E8" s="3">
        <v>0</v>
      </c>
      <c r="F8">
        <f t="shared" si="2"/>
        <v>0</v>
      </c>
      <c r="G8" s="3">
        <v>0</v>
      </c>
      <c r="H8">
        <f t="shared" si="3"/>
        <v>0</v>
      </c>
      <c r="I8" s="3">
        <v>0</v>
      </c>
      <c r="J8">
        <f t="shared" si="4"/>
        <v>0</v>
      </c>
      <c r="K8" s="3">
        <v>0</v>
      </c>
      <c r="L8">
        <f t="shared" si="5"/>
        <v>0</v>
      </c>
      <c r="M8" s="3">
        <v>0</v>
      </c>
      <c r="N8">
        <f t="shared" si="6"/>
        <v>0</v>
      </c>
      <c r="O8" s="2">
        <v>0</v>
      </c>
      <c r="P8">
        <f t="shared" si="7"/>
        <v>0</v>
      </c>
      <c r="Q8" s="2">
        <v>0</v>
      </c>
      <c r="R8">
        <f t="shared" si="8"/>
        <v>0</v>
      </c>
      <c r="S8" s="2">
        <v>0</v>
      </c>
      <c r="T8">
        <f t="shared" si="9"/>
        <v>0</v>
      </c>
      <c r="U8" s="2">
        <v>0</v>
      </c>
      <c r="V8">
        <f t="shared" si="10"/>
        <v>0</v>
      </c>
      <c r="W8" s="2">
        <v>0</v>
      </c>
      <c r="X8">
        <f t="shared" si="11"/>
        <v>0</v>
      </c>
      <c r="Y8" s="2">
        <v>0</v>
      </c>
      <c r="Z8">
        <f t="shared" si="12"/>
        <v>0</v>
      </c>
    </row>
    <row r="9" spans="1:26" x14ac:dyDescent="0.2">
      <c r="A9" s="3">
        <v>0</v>
      </c>
      <c r="B9">
        <f t="shared" si="0"/>
        <v>0</v>
      </c>
      <c r="C9" s="3">
        <v>0</v>
      </c>
      <c r="D9">
        <f t="shared" si="1"/>
        <v>0</v>
      </c>
      <c r="E9" s="3">
        <v>0</v>
      </c>
      <c r="F9">
        <f t="shared" si="2"/>
        <v>0</v>
      </c>
      <c r="G9" s="3">
        <v>0</v>
      </c>
      <c r="H9">
        <f t="shared" si="3"/>
        <v>0</v>
      </c>
      <c r="I9" s="3">
        <v>0</v>
      </c>
      <c r="J9">
        <f t="shared" si="4"/>
        <v>0</v>
      </c>
      <c r="K9" s="3">
        <v>0</v>
      </c>
      <c r="L9">
        <f t="shared" si="5"/>
        <v>0</v>
      </c>
      <c r="M9" s="3">
        <v>0</v>
      </c>
      <c r="N9">
        <f t="shared" si="6"/>
        <v>0</v>
      </c>
      <c r="O9" s="2">
        <v>0</v>
      </c>
      <c r="P9">
        <f t="shared" si="7"/>
        <v>0</v>
      </c>
      <c r="Q9" s="2">
        <v>0</v>
      </c>
      <c r="R9">
        <f t="shared" si="8"/>
        <v>0</v>
      </c>
      <c r="S9" s="2">
        <v>0</v>
      </c>
      <c r="T9">
        <f t="shared" si="9"/>
        <v>0</v>
      </c>
      <c r="U9" s="2">
        <v>0</v>
      </c>
      <c r="V9">
        <f t="shared" si="10"/>
        <v>0</v>
      </c>
      <c r="W9" s="2">
        <v>0</v>
      </c>
      <c r="X9">
        <f t="shared" si="11"/>
        <v>0</v>
      </c>
      <c r="Y9" s="2">
        <v>0</v>
      </c>
      <c r="Z9">
        <f t="shared" si="12"/>
        <v>0</v>
      </c>
    </row>
    <row r="10" spans="1:26" x14ac:dyDescent="0.2">
      <c r="A10" s="3">
        <v>0</v>
      </c>
      <c r="B10">
        <f t="shared" si="0"/>
        <v>0</v>
      </c>
      <c r="C10" s="3">
        <v>0</v>
      </c>
      <c r="D10">
        <f t="shared" si="1"/>
        <v>0</v>
      </c>
      <c r="E10" s="3">
        <v>0</v>
      </c>
      <c r="F10">
        <f t="shared" si="2"/>
        <v>0</v>
      </c>
      <c r="G10" s="3">
        <v>0</v>
      </c>
      <c r="H10">
        <f t="shared" si="3"/>
        <v>0</v>
      </c>
      <c r="I10" s="3">
        <v>0</v>
      </c>
      <c r="J10">
        <f t="shared" si="4"/>
        <v>0</v>
      </c>
      <c r="K10" s="3">
        <v>0</v>
      </c>
      <c r="L10">
        <f t="shared" si="5"/>
        <v>0</v>
      </c>
      <c r="M10" s="3">
        <v>0</v>
      </c>
      <c r="N10">
        <f t="shared" si="6"/>
        <v>0</v>
      </c>
      <c r="O10" s="2">
        <v>0</v>
      </c>
      <c r="P10">
        <f t="shared" si="7"/>
        <v>0</v>
      </c>
      <c r="Q10" s="2">
        <v>0</v>
      </c>
      <c r="R10">
        <f t="shared" si="8"/>
        <v>0</v>
      </c>
      <c r="S10" s="2">
        <v>0</v>
      </c>
      <c r="T10">
        <f t="shared" si="9"/>
        <v>0</v>
      </c>
      <c r="U10" s="2">
        <v>0</v>
      </c>
      <c r="V10">
        <f t="shared" si="10"/>
        <v>0</v>
      </c>
      <c r="W10" s="2">
        <v>0</v>
      </c>
      <c r="X10">
        <f t="shared" si="11"/>
        <v>0</v>
      </c>
      <c r="Y10" s="2">
        <v>0</v>
      </c>
      <c r="Z10">
        <f t="shared" si="12"/>
        <v>0</v>
      </c>
    </row>
    <row r="11" spans="1:26" x14ac:dyDescent="0.2">
      <c r="A11" s="3">
        <v>0</v>
      </c>
      <c r="B11">
        <f t="shared" si="0"/>
        <v>0</v>
      </c>
      <c r="C11" s="3">
        <v>0</v>
      </c>
      <c r="D11">
        <f t="shared" si="1"/>
        <v>0</v>
      </c>
      <c r="E11" s="3">
        <v>0</v>
      </c>
      <c r="F11">
        <f t="shared" si="2"/>
        <v>0</v>
      </c>
      <c r="G11" s="3">
        <v>0</v>
      </c>
      <c r="H11">
        <f t="shared" si="3"/>
        <v>0</v>
      </c>
      <c r="I11" s="3">
        <v>0</v>
      </c>
      <c r="J11">
        <f t="shared" si="4"/>
        <v>0</v>
      </c>
      <c r="K11" s="3">
        <v>0</v>
      </c>
      <c r="L11">
        <f t="shared" si="5"/>
        <v>0</v>
      </c>
      <c r="M11" s="3">
        <v>0</v>
      </c>
      <c r="N11">
        <f t="shared" si="6"/>
        <v>0</v>
      </c>
      <c r="O11" s="2">
        <v>0</v>
      </c>
      <c r="P11">
        <f t="shared" si="7"/>
        <v>0</v>
      </c>
      <c r="Q11" s="2">
        <v>0</v>
      </c>
      <c r="R11">
        <f t="shared" si="8"/>
        <v>0</v>
      </c>
      <c r="S11" s="2">
        <v>0</v>
      </c>
      <c r="T11">
        <f t="shared" si="9"/>
        <v>0</v>
      </c>
      <c r="U11" s="2">
        <v>0</v>
      </c>
      <c r="V11">
        <f t="shared" si="10"/>
        <v>0</v>
      </c>
      <c r="W11" s="2">
        <v>0</v>
      </c>
      <c r="X11">
        <f t="shared" si="11"/>
        <v>0</v>
      </c>
      <c r="Y11" s="2">
        <v>0</v>
      </c>
      <c r="Z11">
        <f t="shared" si="12"/>
        <v>0</v>
      </c>
    </row>
    <row r="12" spans="1:26" x14ac:dyDescent="0.2">
      <c r="A12" s="3">
        <v>0</v>
      </c>
      <c r="B12">
        <f t="shared" si="0"/>
        <v>0</v>
      </c>
      <c r="C12" s="3">
        <v>0</v>
      </c>
      <c r="D12">
        <f t="shared" si="1"/>
        <v>0</v>
      </c>
      <c r="E12" s="3">
        <v>0</v>
      </c>
      <c r="F12">
        <f t="shared" si="2"/>
        <v>0</v>
      </c>
      <c r="G12" s="3">
        <v>0</v>
      </c>
      <c r="H12">
        <f t="shared" si="3"/>
        <v>0</v>
      </c>
      <c r="I12" s="3">
        <v>0</v>
      </c>
      <c r="J12">
        <f t="shared" si="4"/>
        <v>0</v>
      </c>
      <c r="K12" s="3">
        <v>0</v>
      </c>
      <c r="L12">
        <f t="shared" si="5"/>
        <v>0</v>
      </c>
      <c r="M12" s="3">
        <v>0</v>
      </c>
      <c r="N12">
        <f t="shared" si="6"/>
        <v>0</v>
      </c>
      <c r="O12" s="2">
        <v>0</v>
      </c>
      <c r="P12">
        <f t="shared" si="7"/>
        <v>0</v>
      </c>
      <c r="Q12" s="2">
        <v>0</v>
      </c>
      <c r="R12">
        <f t="shared" si="8"/>
        <v>0</v>
      </c>
      <c r="S12" s="2">
        <v>0</v>
      </c>
      <c r="T12">
        <f t="shared" si="9"/>
        <v>0</v>
      </c>
      <c r="U12" s="2">
        <v>0</v>
      </c>
      <c r="V12">
        <f t="shared" si="10"/>
        <v>0</v>
      </c>
      <c r="W12" s="2">
        <v>0</v>
      </c>
      <c r="X12">
        <f t="shared" si="11"/>
        <v>0</v>
      </c>
      <c r="Y12" s="2">
        <v>0</v>
      </c>
      <c r="Z12">
        <f t="shared" si="12"/>
        <v>0</v>
      </c>
    </row>
    <row r="13" spans="1:26" x14ac:dyDescent="0.2">
      <c r="A13" s="3">
        <v>0</v>
      </c>
      <c r="B13">
        <f t="shared" si="0"/>
        <v>0</v>
      </c>
      <c r="C13" s="3">
        <v>0</v>
      </c>
      <c r="D13">
        <f t="shared" si="1"/>
        <v>0</v>
      </c>
      <c r="E13" s="3">
        <v>0</v>
      </c>
      <c r="F13">
        <f t="shared" si="2"/>
        <v>0</v>
      </c>
      <c r="G13" s="3">
        <v>0</v>
      </c>
      <c r="H13">
        <f t="shared" si="3"/>
        <v>0</v>
      </c>
      <c r="I13" s="3">
        <v>0</v>
      </c>
      <c r="J13">
        <f t="shared" si="4"/>
        <v>0</v>
      </c>
      <c r="K13" s="3">
        <v>0</v>
      </c>
      <c r="L13">
        <f t="shared" si="5"/>
        <v>0</v>
      </c>
      <c r="M13" s="3">
        <v>0</v>
      </c>
      <c r="N13">
        <f t="shared" si="6"/>
        <v>0</v>
      </c>
      <c r="O13" s="2">
        <v>0</v>
      </c>
      <c r="P13">
        <f t="shared" si="7"/>
        <v>0</v>
      </c>
      <c r="Q13" s="2">
        <v>0</v>
      </c>
      <c r="R13">
        <f t="shared" si="8"/>
        <v>0</v>
      </c>
      <c r="S13" s="2">
        <v>0</v>
      </c>
      <c r="T13">
        <f t="shared" si="9"/>
        <v>0</v>
      </c>
      <c r="U13" s="2">
        <v>0</v>
      </c>
      <c r="V13">
        <f t="shared" si="10"/>
        <v>0</v>
      </c>
      <c r="W13" s="2">
        <v>0</v>
      </c>
      <c r="X13">
        <f t="shared" si="11"/>
        <v>0</v>
      </c>
      <c r="Y13" s="2">
        <v>0</v>
      </c>
      <c r="Z13">
        <f t="shared" si="12"/>
        <v>0</v>
      </c>
    </row>
    <row r="14" spans="1:26" x14ac:dyDescent="0.2">
      <c r="A14" s="3">
        <v>0</v>
      </c>
      <c r="B14">
        <f t="shared" si="0"/>
        <v>0</v>
      </c>
      <c r="C14" s="3">
        <v>0</v>
      </c>
      <c r="D14">
        <f t="shared" si="1"/>
        <v>0</v>
      </c>
      <c r="E14" s="3">
        <v>0</v>
      </c>
      <c r="F14">
        <f t="shared" si="2"/>
        <v>0</v>
      </c>
      <c r="G14" s="3">
        <v>0</v>
      </c>
      <c r="H14">
        <f t="shared" si="3"/>
        <v>0</v>
      </c>
      <c r="I14" s="3">
        <v>0</v>
      </c>
      <c r="J14">
        <f t="shared" si="4"/>
        <v>0</v>
      </c>
      <c r="K14" s="3">
        <v>0</v>
      </c>
      <c r="L14">
        <f t="shared" si="5"/>
        <v>0</v>
      </c>
      <c r="M14" s="3">
        <v>0</v>
      </c>
      <c r="N14">
        <f t="shared" si="6"/>
        <v>0</v>
      </c>
      <c r="O14" s="2">
        <v>0</v>
      </c>
      <c r="P14">
        <f t="shared" si="7"/>
        <v>0</v>
      </c>
      <c r="Q14" s="2">
        <v>0</v>
      </c>
      <c r="R14">
        <f t="shared" si="8"/>
        <v>0</v>
      </c>
      <c r="S14" s="2">
        <v>0</v>
      </c>
      <c r="T14">
        <f t="shared" si="9"/>
        <v>0</v>
      </c>
      <c r="U14" s="2">
        <v>0</v>
      </c>
      <c r="V14">
        <f t="shared" si="10"/>
        <v>0</v>
      </c>
      <c r="W14" s="2">
        <v>0</v>
      </c>
      <c r="X14">
        <f t="shared" si="11"/>
        <v>0</v>
      </c>
      <c r="Y14" s="2">
        <v>0</v>
      </c>
      <c r="Z14">
        <f t="shared" si="12"/>
        <v>0</v>
      </c>
    </row>
    <row r="15" spans="1:26" x14ac:dyDescent="0.2">
      <c r="A15" s="3">
        <v>0</v>
      </c>
      <c r="B15">
        <f t="shared" si="0"/>
        <v>0</v>
      </c>
      <c r="C15" s="3">
        <v>0</v>
      </c>
      <c r="D15">
        <f t="shared" si="1"/>
        <v>0</v>
      </c>
      <c r="E15" s="3">
        <v>0</v>
      </c>
      <c r="F15">
        <f t="shared" si="2"/>
        <v>0</v>
      </c>
      <c r="G15" s="3">
        <v>0</v>
      </c>
      <c r="H15">
        <f t="shared" si="3"/>
        <v>0</v>
      </c>
      <c r="I15" s="3">
        <v>0</v>
      </c>
      <c r="J15">
        <f t="shared" si="4"/>
        <v>0</v>
      </c>
      <c r="K15" s="3">
        <v>0</v>
      </c>
      <c r="L15">
        <f t="shared" si="5"/>
        <v>0</v>
      </c>
      <c r="M15" s="3">
        <v>0</v>
      </c>
      <c r="N15">
        <f t="shared" si="6"/>
        <v>0</v>
      </c>
      <c r="O15" s="2">
        <v>0</v>
      </c>
      <c r="P15">
        <f t="shared" si="7"/>
        <v>0</v>
      </c>
      <c r="Q15" s="2">
        <v>0</v>
      </c>
      <c r="R15">
        <f t="shared" si="8"/>
        <v>0</v>
      </c>
      <c r="S15" s="2">
        <v>0</v>
      </c>
      <c r="T15">
        <f t="shared" si="9"/>
        <v>0</v>
      </c>
      <c r="U15" s="2">
        <v>0</v>
      </c>
      <c r="V15">
        <f t="shared" si="10"/>
        <v>0</v>
      </c>
      <c r="W15" s="2">
        <v>0</v>
      </c>
      <c r="X15">
        <f t="shared" si="11"/>
        <v>0</v>
      </c>
      <c r="Y15" s="2">
        <v>0</v>
      </c>
      <c r="Z15">
        <f t="shared" si="12"/>
        <v>0</v>
      </c>
    </row>
    <row r="16" spans="1:26" x14ac:dyDescent="0.2">
      <c r="A16" s="3">
        <v>0</v>
      </c>
      <c r="B16">
        <f t="shared" si="0"/>
        <v>0</v>
      </c>
      <c r="C16" s="3">
        <v>0</v>
      </c>
      <c r="D16">
        <f t="shared" si="1"/>
        <v>0</v>
      </c>
      <c r="E16" s="3">
        <v>0</v>
      </c>
      <c r="F16">
        <f t="shared" si="2"/>
        <v>0</v>
      </c>
      <c r="G16" s="3">
        <v>0</v>
      </c>
      <c r="H16">
        <f t="shared" si="3"/>
        <v>0</v>
      </c>
      <c r="I16" s="3">
        <v>0</v>
      </c>
      <c r="J16">
        <f t="shared" si="4"/>
        <v>0</v>
      </c>
      <c r="K16" s="3">
        <v>0</v>
      </c>
      <c r="L16">
        <f t="shared" si="5"/>
        <v>0</v>
      </c>
      <c r="M16" s="3">
        <v>0</v>
      </c>
      <c r="N16">
        <f t="shared" si="6"/>
        <v>0</v>
      </c>
      <c r="O16" s="2">
        <v>0</v>
      </c>
      <c r="P16">
        <f t="shared" si="7"/>
        <v>0</v>
      </c>
      <c r="Q16" s="2">
        <v>0</v>
      </c>
      <c r="R16">
        <f t="shared" si="8"/>
        <v>0</v>
      </c>
      <c r="S16" s="2">
        <v>0</v>
      </c>
      <c r="T16">
        <f t="shared" si="9"/>
        <v>0</v>
      </c>
      <c r="U16" s="2">
        <v>0</v>
      </c>
      <c r="V16">
        <f t="shared" si="10"/>
        <v>0</v>
      </c>
      <c r="W16" s="2">
        <v>0</v>
      </c>
      <c r="X16">
        <f t="shared" si="11"/>
        <v>0</v>
      </c>
      <c r="Y16" s="2">
        <v>0</v>
      </c>
      <c r="Z16">
        <f t="shared" si="12"/>
        <v>0</v>
      </c>
    </row>
    <row r="17" spans="1:26" x14ac:dyDescent="0.2">
      <c r="A17" s="3">
        <v>0</v>
      </c>
      <c r="B17">
        <f t="shared" si="0"/>
        <v>0</v>
      </c>
      <c r="C17" s="3">
        <v>0</v>
      </c>
      <c r="D17">
        <f t="shared" si="1"/>
        <v>0</v>
      </c>
      <c r="E17" s="3">
        <v>0</v>
      </c>
      <c r="F17">
        <f t="shared" si="2"/>
        <v>0</v>
      </c>
      <c r="G17" s="3">
        <v>0</v>
      </c>
      <c r="H17">
        <f t="shared" si="3"/>
        <v>0</v>
      </c>
      <c r="I17" s="3">
        <v>0</v>
      </c>
      <c r="J17">
        <f t="shared" si="4"/>
        <v>0</v>
      </c>
      <c r="K17" s="3">
        <v>0</v>
      </c>
      <c r="L17">
        <f t="shared" si="5"/>
        <v>0</v>
      </c>
      <c r="M17" s="3">
        <v>0</v>
      </c>
      <c r="N17">
        <f t="shared" si="6"/>
        <v>0</v>
      </c>
      <c r="O17" s="2">
        <v>0</v>
      </c>
      <c r="P17">
        <f t="shared" si="7"/>
        <v>0</v>
      </c>
      <c r="Q17" s="2">
        <v>0</v>
      </c>
      <c r="R17">
        <f t="shared" si="8"/>
        <v>0</v>
      </c>
      <c r="S17" s="2">
        <v>0</v>
      </c>
      <c r="T17">
        <f t="shared" si="9"/>
        <v>0</v>
      </c>
      <c r="U17" s="2">
        <v>0</v>
      </c>
      <c r="V17">
        <f t="shared" si="10"/>
        <v>0</v>
      </c>
      <c r="W17" s="2">
        <v>0</v>
      </c>
      <c r="X17">
        <f t="shared" si="11"/>
        <v>0</v>
      </c>
      <c r="Y17" s="2">
        <v>0</v>
      </c>
      <c r="Z17">
        <f t="shared" si="12"/>
        <v>0</v>
      </c>
    </row>
    <row r="18" spans="1:26" x14ac:dyDescent="0.2">
      <c r="A18" s="3">
        <v>0</v>
      </c>
      <c r="B18">
        <f t="shared" si="0"/>
        <v>0</v>
      </c>
      <c r="C18" s="3">
        <v>0</v>
      </c>
      <c r="D18">
        <f t="shared" si="1"/>
        <v>0</v>
      </c>
      <c r="E18" s="3">
        <v>0</v>
      </c>
      <c r="F18">
        <f t="shared" si="2"/>
        <v>0</v>
      </c>
      <c r="G18" s="3">
        <v>0</v>
      </c>
      <c r="H18">
        <f t="shared" si="3"/>
        <v>0</v>
      </c>
      <c r="I18" s="3">
        <v>0</v>
      </c>
      <c r="J18">
        <f t="shared" si="4"/>
        <v>0</v>
      </c>
      <c r="K18" s="3">
        <v>0</v>
      </c>
      <c r="L18">
        <f t="shared" si="5"/>
        <v>0</v>
      </c>
      <c r="M18" s="3">
        <v>0</v>
      </c>
      <c r="N18">
        <f t="shared" si="6"/>
        <v>0</v>
      </c>
      <c r="O18" s="2">
        <v>0</v>
      </c>
      <c r="P18">
        <f t="shared" si="7"/>
        <v>0</v>
      </c>
      <c r="Q18" s="2">
        <v>0</v>
      </c>
      <c r="R18">
        <f t="shared" si="8"/>
        <v>0</v>
      </c>
      <c r="S18" s="2">
        <v>0</v>
      </c>
      <c r="T18">
        <f t="shared" si="9"/>
        <v>0</v>
      </c>
      <c r="U18" s="2">
        <v>0</v>
      </c>
      <c r="V18">
        <f t="shared" si="10"/>
        <v>0</v>
      </c>
      <c r="W18" s="2">
        <v>0</v>
      </c>
      <c r="X18">
        <f t="shared" si="11"/>
        <v>0</v>
      </c>
      <c r="Y18" s="2">
        <v>0</v>
      </c>
      <c r="Z18">
        <f t="shared" si="12"/>
        <v>0</v>
      </c>
    </row>
    <row r="19" spans="1:26" x14ac:dyDescent="0.2">
      <c r="A19" s="3">
        <v>0</v>
      </c>
      <c r="B19">
        <f t="shared" si="0"/>
        <v>0</v>
      </c>
      <c r="C19" s="3">
        <v>0</v>
      </c>
      <c r="D19">
        <f t="shared" si="1"/>
        <v>0</v>
      </c>
      <c r="E19" s="3">
        <v>0</v>
      </c>
      <c r="F19">
        <f t="shared" si="2"/>
        <v>0</v>
      </c>
      <c r="G19" s="3">
        <v>0</v>
      </c>
      <c r="H19">
        <f t="shared" si="3"/>
        <v>0</v>
      </c>
      <c r="I19" s="3">
        <v>0</v>
      </c>
      <c r="J19">
        <f t="shared" si="4"/>
        <v>0</v>
      </c>
      <c r="K19" s="3">
        <v>0</v>
      </c>
      <c r="L19">
        <f t="shared" si="5"/>
        <v>0</v>
      </c>
      <c r="M19" s="3">
        <v>0</v>
      </c>
      <c r="N19">
        <f t="shared" si="6"/>
        <v>0</v>
      </c>
      <c r="O19" s="2">
        <v>0</v>
      </c>
      <c r="P19">
        <f t="shared" si="7"/>
        <v>0</v>
      </c>
      <c r="Q19" s="2">
        <v>0</v>
      </c>
      <c r="R19">
        <f t="shared" si="8"/>
        <v>0</v>
      </c>
      <c r="S19" s="2">
        <v>0</v>
      </c>
      <c r="T19">
        <f t="shared" si="9"/>
        <v>0</v>
      </c>
      <c r="U19" s="2">
        <v>0</v>
      </c>
      <c r="V19">
        <f t="shared" si="10"/>
        <v>0</v>
      </c>
      <c r="W19" s="2">
        <v>0</v>
      </c>
      <c r="X19">
        <f t="shared" si="11"/>
        <v>0</v>
      </c>
      <c r="Y19" s="2">
        <v>0</v>
      </c>
      <c r="Z19">
        <f t="shared" si="12"/>
        <v>0</v>
      </c>
    </row>
    <row r="20" spans="1:26" x14ac:dyDescent="0.2">
      <c r="A20" s="3">
        <v>0</v>
      </c>
      <c r="B20">
        <f t="shared" si="0"/>
        <v>0</v>
      </c>
      <c r="C20" s="3">
        <v>0</v>
      </c>
      <c r="D20">
        <f t="shared" si="1"/>
        <v>0</v>
      </c>
      <c r="E20" s="3">
        <v>0</v>
      </c>
      <c r="F20">
        <f t="shared" si="2"/>
        <v>0</v>
      </c>
      <c r="G20" s="3">
        <v>0</v>
      </c>
      <c r="H20">
        <f t="shared" si="3"/>
        <v>0</v>
      </c>
      <c r="I20" s="3">
        <v>0</v>
      </c>
      <c r="J20">
        <f t="shared" si="4"/>
        <v>0</v>
      </c>
      <c r="K20" s="3">
        <v>0</v>
      </c>
      <c r="L20">
        <f t="shared" si="5"/>
        <v>0</v>
      </c>
      <c r="M20" s="3">
        <v>0</v>
      </c>
      <c r="N20">
        <f t="shared" si="6"/>
        <v>0</v>
      </c>
      <c r="O20" s="2">
        <v>0</v>
      </c>
      <c r="P20">
        <f t="shared" si="7"/>
        <v>0</v>
      </c>
      <c r="Q20" s="2">
        <v>0</v>
      </c>
      <c r="R20">
        <f t="shared" si="8"/>
        <v>0</v>
      </c>
      <c r="S20" s="2">
        <v>0</v>
      </c>
      <c r="T20">
        <f t="shared" si="9"/>
        <v>0</v>
      </c>
      <c r="U20" s="2">
        <v>0</v>
      </c>
      <c r="V20">
        <f t="shared" si="10"/>
        <v>0</v>
      </c>
      <c r="W20" s="2">
        <v>0</v>
      </c>
      <c r="X20">
        <f t="shared" si="11"/>
        <v>0</v>
      </c>
      <c r="Y20" s="2">
        <v>0</v>
      </c>
      <c r="Z20">
        <f t="shared" si="12"/>
        <v>0</v>
      </c>
    </row>
    <row r="21" spans="1:26" x14ac:dyDescent="0.2">
      <c r="A21" s="3">
        <v>0</v>
      </c>
      <c r="B21">
        <f t="shared" si="0"/>
        <v>0</v>
      </c>
      <c r="C21" s="3">
        <v>0</v>
      </c>
      <c r="D21">
        <f t="shared" si="1"/>
        <v>0</v>
      </c>
      <c r="E21" s="3">
        <v>0</v>
      </c>
      <c r="F21">
        <f t="shared" si="2"/>
        <v>0</v>
      </c>
      <c r="G21" s="3">
        <v>0</v>
      </c>
      <c r="H21">
        <f t="shared" si="3"/>
        <v>0</v>
      </c>
      <c r="I21" s="3">
        <v>0</v>
      </c>
      <c r="J21">
        <f t="shared" si="4"/>
        <v>0</v>
      </c>
      <c r="K21" s="3">
        <v>0</v>
      </c>
      <c r="L21">
        <f t="shared" si="5"/>
        <v>0</v>
      </c>
      <c r="M21" s="3">
        <v>0</v>
      </c>
      <c r="N21">
        <f t="shared" si="6"/>
        <v>0</v>
      </c>
      <c r="O21" s="2">
        <v>0</v>
      </c>
      <c r="P21">
        <f t="shared" si="7"/>
        <v>0</v>
      </c>
      <c r="Q21" s="2">
        <v>0</v>
      </c>
      <c r="R21">
        <f t="shared" si="8"/>
        <v>0</v>
      </c>
      <c r="S21" s="2">
        <v>0</v>
      </c>
      <c r="T21">
        <f t="shared" si="9"/>
        <v>0</v>
      </c>
      <c r="U21" s="2">
        <v>0</v>
      </c>
      <c r="V21">
        <f t="shared" si="10"/>
        <v>0</v>
      </c>
      <c r="W21" s="2">
        <v>0</v>
      </c>
      <c r="X21">
        <f t="shared" si="11"/>
        <v>0</v>
      </c>
      <c r="Y21" s="2">
        <v>0</v>
      </c>
      <c r="Z21">
        <f t="shared" si="12"/>
        <v>0</v>
      </c>
    </row>
    <row r="22" spans="1:26" x14ac:dyDescent="0.2">
      <c r="A22" s="3">
        <v>0</v>
      </c>
      <c r="B22">
        <f t="shared" si="0"/>
        <v>0</v>
      </c>
      <c r="C22" s="3">
        <v>0</v>
      </c>
      <c r="D22">
        <f t="shared" si="1"/>
        <v>0</v>
      </c>
      <c r="E22" s="3">
        <v>0</v>
      </c>
      <c r="F22">
        <f t="shared" si="2"/>
        <v>0</v>
      </c>
      <c r="G22" s="3">
        <v>0</v>
      </c>
      <c r="H22">
        <f t="shared" si="3"/>
        <v>0</v>
      </c>
      <c r="I22" s="3">
        <v>0</v>
      </c>
      <c r="J22">
        <f t="shared" si="4"/>
        <v>0</v>
      </c>
      <c r="K22" s="3">
        <v>0</v>
      </c>
      <c r="L22">
        <f t="shared" si="5"/>
        <v>0</v>
      </c>
      <c r="M22" s="3">
        <v>0</v>
      </c>
      <c r="N22">
        <f t="shared" si="6"/>
        <v>0</v>
      </c>
      <c r="O22" s="2">
        <v>0</v>
      </c>
      <c r="P22">
        <f t="shared" si="7"/>
        <v>0</v>
      </c>
      <c r="Q22" s="2">
        <v>0</v>
      </c>
      <c r="R22">
        <f t="shared" si="8"/>
        <v>0</v>
      </c>
      <c r="S22" s="2">
        <v>0</v>
      </c>
      <c r="T22">
        <f t="shared" si="9"/>
        <v>0</v>
      </c>
      <c r="U22" s="2">
        <v>0</v>
      </c>
      <c r="V22">
        <f t="shared" si="10"/>
        <v>0</v>
      </c>
      <c r="W22" s="2">
        <v>0</v>
      </c>
      <c r="X22">
        <f t="shared" si="11"/>
        <v>0</v>
      </c>
      <c r="Y22" s="2">
        <v>0</v>
      </c>
      <c r="Z22">
        <f t="shared" si="12"/>
        <v>0</v>
      </c>
    </row>
    <row r="23" spans="1:26" x14ac:dyDescent="0.2">
      <c r="A23" s="3">
        <v>0</v>
      </c>
      <c r="B23">
        <f t="shared" si="0"/>
        <v>0</v>
      </c>
      <c r="C23" s="3">
        <v>0</v>
      </c>
      <c r="D23">
        <f t="shared" si="1"/>
        <v>0</v>
      </c>
      <c r="E23" s="3">
        <v>0</v>
      </c>
      <c r="F23">
        <f t="shared" si="2"/>
        <v>0</v>
      </c>
      <c r="G23" s="3">
        <v>0</v>
      </c>
      <c r="H23">
        <f t="shared" si="3"/>
        <v>0</v>
      </c>
      <c r="I23" s="3">
        <v>0</v>
      </c>
      <c r="J23">
        <f t="shared" si="4"/>
        <v>0</v>
      </c>
      <c r="K23" s="3">
        <v>0</v>
      </c>
      <c r="L23">
        <f t="shared" si="5"/>
        <v>0</v>
      </c>
      <c r="M23" s="3">
        <v>0</v>
      </c>
      <c r="N23">
        <f t="shared" si="6"/>
        <v>0</v>
      </c>
      <c r="O23" s="2">
        <v>0</v>
      </c>
      <c r="P23">
        <f t="shared" si="7"/>
        <v>0</v>
      </c>
      <c r="Q23" s="2">
        <v>0</v>
      </c>
      <c r="R23">
        <f t="shared" si="8"/>
        <v>0</v>
      </c>
      <c r="S23" s="2">
        <v>0</v>
      </c>
      <c r="T23">
        <f t="shared" si="9"/>
        <v>0</v>
      </c>
      <c r="U23" s="2">
        <v>0</v>
      </c>
      <c r="V23">
        <f t="shared" si="10"/>
        <v>0</v>
      </c>
      <c r="W23" s="2">
        <v>0</v>
      </c>
      <c r="X23">
        <f t="shared" si="11"/>
        <v>0</v>
      </c>
      <c r="Y23" s="2">
        <v>0</v>
      </c>
      <c r="Z23">
        <f t="shared" si="12"/>
        <v>0</v>
      </c>
    </row>
    <row r="24" spans="1:26" x14ac:dyDescent="0.2">
      <c r="A24" s="3">
        <v>0</v>
      </c>
      <c r="B24">
        <f t="shared" si="0"/>
        <v>0</v>
      </c>
      <c r="C24" s="3">
        <v>0</v>
      </c>
      <c r="D24">
        <f t="shared" si="1"/>
        <v>0</v>
      </c>
      <c r="E24" s="3">
        <v>0</v>
      </c>
      <c r="F24">
        <f t="shared" si="2"/>
        <v>0</v>
      </c>
      <c r="G24" s="3">
        <v>0</v>
      </c>
      <c r="H24">
        <f t="shared" si="3"/>
        <v>0</v>
      </c>
      <c r="I24" s="3">
        <v>0</v>
      </c>
      <c r="J24">
        <f t="shared" si="4"/>
        <v>0</v>
      </c>
      <c r="K24" s="3">
        <v>0</v>
      </c>
      <c r="L24">
        <f t="shared" si="5"/>
        <v>0</v>
      </c>
      <c r="M24" s="3">
        <v>0</v>
      </c>
      <c r="N24">
        <f t="shared" si="6"/>
        <v>0</v>
      </c>
      <c r="O24" s="2">
        <v>0</v>
      </c>
      <c r="P24">
        <f t="shared" si="7"/>
        <v>0</v>
      </c>
      <c r="Q24" s="2">
        <v>0</v>
      </c>
      <c r="R24">
        <f t="shared" si="8"/>
        <v>0</v>
      </c>
      <c r="S24" s="2">
        <v>0</v>
      </c>
      <c r="T24">
        <f t="shared" si="9"/>
        <v>0</v>
      </c>
      <c r="U24" s="2">
        <v>0</v>
      </c>
      <c r="V24">
        <f t="shared" si="10"/>
        <v>0</v>
      </c>
      <c r="W24" s="2">
        <v>0</v>
      </c>
      <c r="X24">
        <f t="shared" si="11"/>
        <v>0</v>
      </c>
      <c r="Y24" s="2">
        <v>0</v>
      </c>
      <c r="Z24">
        <f t="shared" si="12"/>
        <v>0</v>
      </c>
    </row>
    <row r="25" spans="1:26" x14ac:dyDescent="0.2">
      <c r="A25" s="3">
        <v>0</v>
      </c>
      <c r="B25">
        <f t="shared" si="0"/>
        <v>0</v>
      </c>
      <c r="C25" s="3">
        <v>0</v>
      </c>
      <c r="D25">
        <f t="shared" si="1"/>
        <v>0</v>
      </c>
      <c r="E25" s="3">
        <v>0</v>
      </c>
      <c r="F25">
        <f t="shared" si="2"/>
        <v>0</v>
      </c>
      <c r="G25" s="3">
        <v>0</v>
      </c>
      <c r="H25">
        <f t="shared" si="3"/>
        <v>0</v>
      </c>
      <c r="I25" s="3">
        <v>0</v>
      </c>
      <c r="J25">
        <f t="shared" si="4"/>
        <v>0</v>
      </c>
      <c r="K25" s="3">
        <v>0</v>
      </c>
      <c r="L25">
        <f t="shared" si="5"/>
        <v>0</v>
      </c>
      <c r="M25" s="3">
        <v>0</v>
      </c>
      <c r="N25">
        <f t="shared" si="6"/>
        <v>0</v>
      </c>
      <c r="O25" s="2">
        <v>0</v>
      </c>
      <c r="P25">
        <f t="shared" si="7"/>
        <v>0</v>
      </c>
      <c r="Q25" s="2">
        <v>0</v>
      </c>
      <c r="R25">
        <f t="shared" si="8"/>
        <v>0</v>
      </c>
      <c r="S25" s="2">
        <v>0</v>
      </c>
      <c r="T25">
        <f t="shared" si="9"/>
        <v>0</v>
      </c>
      <c r="U25" s="2">
        <v>0</v>
      </c>
      <c r="V25">
        <f t="shared" si="10"/>
        <v>0</v>
      </c>
      <c r="W25" s="2">
        <v>0</v>
      </c>
      <c r="X25">
        <f t="shared" si="11"/>
        <v>0</v>
      </c>
      <c r="Y25" s="2">
        <v>0</v>
      </c>
      <c r="Z25">
        <f t="shared" si="12"/>
        <v>0</v>
      </c>
    </row>
    <row r="26" spans="1:26" x14ac:dyDescent="0.2">
      <c r="A26" s="3">
        <v>0</v>
      </c>
      <c r="B26">
        <f t="shared" si="0"/>
        <v>0</v>
      </c>
      <c r="C26" s="3">
        <v>0</v>
      </c>
      <c r="D26">
        <f t="shared" si="1"/>
        <v>0</v>
      </c>
      <c r="E26" s="3">
        <v>0</v>
      </c>
      <c r="F26">
        <f t="shared" si="2"/>
        <v>0</v>
      </c>
      <c r="G26" s="3">
        <v>0</v>
      </c>
      <c r="H26">
        <f t="shared" si="3"/>
        <v>0</v>
      </c>
      <c r="I26" s="3">
        <v>0</v>
      </c>
      <c r="J26">
        <f t="shared" si="4"/>
        <v>0</v>
      </c>
      <c r="K26" s="3">
        <v>0</v>
      </c>
      <c r="L26">
        <f t="shared" si="5"/>
        <v>0</v>
      </c>
      <c r="M26" s="3">
        <v>0</v>
      </c>
      <c r="N26">
        <f t="shared" si="6"/>
        <v>0</v>
      </c>
      <c r="O26" s="2">
        <v>0</v>
      </c>
      <c r="P26">
        <f t="shared" si="7"/>
        <v>0</v>
      </c>
      <c r="Q26" s="2">
        <v>0</v>
      </c>
      <c r="R26">
        <f t="shared" si="8"/>
        <v>0</v>
      </c>
      <c r="S26" s="2">
        <v>0</v>
      </c>
      <c r="T26">
        <f t="shared" si="9"/>
        <v>0</v>
      </c>
      <c r="U26" s="2">
        <v>0</v>
      </c>
      <c r="V26">
        <f t="shared" si="10"/>
        <v>0</v>
      </c>
      <c r="W26" s="2">
        <v>0</v>
      </c>
      <c r="X26">
        <f t="shared" si="11"/>
        <v>0</v>
      </c>
      <c r="Y26" s="2">
        <v>0</v>
      </c>
      <c r="Z26">
        <f t="shared" si="12"/>
        <v>0</v>
      </c>
    </row>
    <row r="27" spans="1:26" x14ac:dyDescent="0.2">
      <c r="A27" s="3">
        <v>0</v>
      </c>
      <c r="B27">
        <f t="shared" si="0"/>
        <v>0</v>
      </c>
      <c r="C27" s="3">
        <v>0</v>
      </c>
      <c r="D27">
        <f t="shared" si="1"/>
        <v>0</v>
      </c>
      <c r="E27" s="3">
        <v>0</v>
      </c>
      <c r="F27">
        <f t="shared" si="2"/>
        <v>0</v>
      </c>
      <c r="G27" s="3">
        <v>0</v>
      </c>
      <c r="H27">
        <f t="shared" si="3"/>
        <v>0</v>
      </c>
      <c r="I27" s="3">
        <v>0</v>
      </c>
      <c r="J27">
        <f t="shared" si="4"/>
        <v>0</v>
      </c>
      <c r="K27" s="3">
        <v>0</v>
      </c>
      <c r="L27">
        <f t="shared" si="5"/>
        <v>0</v>
      </c>
      <c r="M27" s="3">
        <v>0</v>
      </c>
      <c r="N27">
        <f t="shared" si="6"/>
        <v>0</v>
      </c>
      <c r="O27" s="2">
        <v>0</v>
      </c>
      <c r="P27">
        <f t="shared" si="7"/>
        <v>0</v>
      </c>
      <c r="Q27" s="2">
        <v>0</v>
      </c>
      <c r="R27">
        <f t="shared" si="8"/>
        <v>0</v>
      </c>
      <c r="S27" s="2">
        <v>0</v>
      </c>
      <c r="T27">
        <f t="shared" si="9"/>
        <v>0</v>
      </c>
      <c r="U27" s="2">
        <v>0</v>
      </c>
      <c r="V27">
        <f t="shared" si="10"/>
        <v>0</v>
      </c>
      <c r="W27" s="2">
        <v>0</v>
      </c>
      <c r="X27">
        <f t="shared" si="11"/>
        <v>0</v>
      </c>
      <c r="Y27" s="2">
        <v>0</v>
      </c>
      <c r="Z27">
        <f t="shared" si="12"/>
        <v>0</v>
      </c>
    </row>
    <row r="28" spans="1:26" x14ac:dyDescent="0.2">
      <c r="A28" s="3">
        <v>0</v>
      </c>
      <c r="B28">
        <f t="shared" si="0"/>
        <v>0</v>
      </c>
      <c r="C28" s="3">
        <v>0</v>
      </c>
      <c r="D28">
        <f t="shared" si="1"/>
        <v>0</v>
      </c>
      <c r="E28" s="3">
        <v>0</v>
      </c>
      <c r="F28">
        <f t="shared" si="2"/>
        <v>0</v>
      </c>
      <c r="G28" s="3">
        <v>0</v>
      </c>
      <c r="H28">
        <f t="shared" si="3"/>
        <v>0</v>
      </c>
      <c r="I28" s="3">
        <v>0</v>
      </c>
      <c r="J28">
        <f t="shared" si="4"/>
        <v>0</v>
      </c>
      <c r="K28" s="3">
        <v>0</v>
      </c>
      <c r="L28">
        <f t="shared" si="5"/>
        <v>0</v>
      </c>
      <c r="M28" s="3">
        <v>0</v>
      </c>
      <c r="N28">
        <f t="shared" si="6"/>
        <v>0</v>
      </c>
      <c r="O28" s="2">
        <v>0</v>
      </c>
      <c r="P28">
        <f t="shared" si="7"/>
        <v>0</v>
      </c>
      <c r="Q28" s="2">
        <v>0</v>
      </c>
      <c r="R28">
        <f t="shared" si="8"/>
        <v>0</v>
      </c>
      <c r="S28" s="2">
        <v>0</v>
      </c>
      <c r="T28">
        <f t="shared" si="9"/>
        <v>0</v>
      </c>
      <c r="U28" s="2">
        <v>0</v>
      </c>
      <c r="V28">
        <f t="shared" si="10"/>
        <v>0</v>
      </c>
      <c r="W28" s="2">
        <v>0</v>
      </c>
      <c r="X28">
        <f t="shared" si="11"/>
        <v>0</v>
      </c>
      <c r="Y28" s="2">
        <v>0</v>
      </c>
      <c r="Z28">
        <f t="shared" si="12"/>
        <v>0</v>
      </c>
    </row>
    <row r="29" spans="1:26" x14ac:dyDescent="0.2">
      <c r="A29" s="3">
        <v>0</v>
      </c>
      <c r="B29">
        <f t="shared" si="0"/>
        <v>0</v>
      </c>
      <c r="C29" s="3">
        <v>0</v>
      </c>
      <c r="D29">
        <f t="shared" si="1"/>
        <v>0</v>
      </c>
      <c r="E29" s="3">
        <v>0</v>
      </c>
      <c r="F29">
        <f t="shared" si="2"/>
        <v>0</v>
      </c>
      <c r="G29" s="3">
        <v>0</v>
      </c>
      <c r="H29">
        <f t="shared" si="3"/>
        <v>0</v>
      </c>
      <c r="I29" s="3">
        <v>0</v>
      </c>
      <c r="J29">
        <f t="shared" si="4"/>
        <v>0</v>
      </c>
      <c r="K29" s="3">
        <v>0</v>
      </c>
      <c r="L29">
        <f t="shared" si="5"/>
        <v>0</v>
      </c>
      <c r="M29" s="3">
        <v>0</v>
      </c>
      <c r="N29">
        <f t="shared" si="6"/>
        <v>0</v>
      </c>
      <c r="O29" s="2">
        <v>0</v>
      </c>
      <c r="P29">
        <f t="shared" si="7"/>
        <v>0</v>
      </c>
      <c r="Q29" s="2">
        <v>0</v>
      </c>
      <c r="R29">
        <f t="shared" si="8"/>
        <v>0</v>
      </c>
      <c r="S29" s="2">
        <v>0</v>
      </c>
      <c r="T29">
        <f t="shared" si="9"/>
        <v>0</v>
      </c>
      <c r="U29" s="2">
        <v>0</v>
      </c>
      <c r="V29">
        <f t="shared" si="10"/>
        <v>0</v>
      </c>
      <c r="W29" s="2">
        <v>0</v>
      </c>
      <c r="X29">
        <f t="shared" si="11"/>
        <v>0</v>
      </c>
      <c r="Y29" s="2">
        <v>0</v>
      </c>
      <c r="Z29">
        <f t="shared" si="12"/>
        <v>0</v>
      </c>
    </row>
    <row r="30" spans="1:26" x14ac:dyDescent="0.2">
      <c r="A30" s="3">
        <v>0</v>
      </c>
      <c r="B30">
        <f t="shared" si="0"/>
        <v>0</v>
      </c>
      <c r="C30" s="3">
        <v>0</v>
      </c>
      <c r="D30">
        <f t="shared" si="1"/>
        <v>0</v>
      </c>
      <c r="E30" s="3">
        <v>0</v>
      </c>
      <c r="F30">
        <f t="shared" si="2"/>
        <v>0</v>
      </c>
      <c r="G30" s="3">
        <v>0</v>
      </c>
      <c r="H30">
        <f t="shared" si="3"/>
        <v>0</v>
      </c>
      <c r="I30" s="3">
        <v>0</v>
      </c>
      <c r="J30">
        <f t="shared" si="4"/>
        <v>0</v>
      </c>
      <c r="K30" s="3">
        <v>0</v>
      </c>
      <c r="L30">
        <f t="shared" si="5"/>
        <v>0</v>
      </c>
      <c r="M30" s="3">
        <v>0</v>
      </c>
      <c r="N30">
        <f t="shared" si="6"/>
        <v>0</v>
      </c>
      <c r="O30" s="2">
        <v>0</v>
      </c>
      <c r="P30">
        <f t="shared" si="7"/>
        <v>0</v>
      </c>
      <c r="Q30" s="2">
        <v>0</v>
      </c>
      <c r="R30">
        <f t="shared" si="8"/>
        <v>0</v>
      </c>
      <c r="S30" s="2">
        <v>0</v>
      </c>
      <c r="T30">
        <f t="shared" si="9"/>
        <v>0</v>
      </c>
      <c r="U30" s="2">
        <v>0</v>
      </c>
      <c r="V30">
        <f t="shared" si="10"/>
        <v>0</v>
      </c>
      <c r="W30" s="2">
        <v>0</v>
      </c>
      <c r="X30">
        <f t="shared" si="11"/>
        <v>0</v>
      </c>
      <c r="Y30" s="2">
        <v>0</v>
      </c>
      <c r="Z30">
        <f t="shared" si="12"/>
        <v>0</v>
      </c>
    </row>
    <row r="31" spans="1:26" x14ac:dyDescent="0.2">
      <c r="A31" s="3">
        <v>0</v>
      </c>
      <c r="B31">
        <f t="shared" si="0"/>
        <v>0</v>
      </c>
      <c r="C31" s="3">
        <v>0</v>
      </c>
      <c r="D31">
        <f t="shared" si="1"/>
        <v>0</v>
      </c>
      <c r="E31" s="3">
        <v>0</v>
      </c>
      <c r="F31">
        <f t="shared" si="2"/>
        <v>0</v>
      </c>
      <c r="G31" s="3">
        <v>0</v>
      </c>
      <c r="H31">
        <f t="shared" si="3"/>
        <v>0</v>
      </c>
      <c r="I31" s="3">
        <v>0</v>
      </c>
      <c r="J31">
        <f t="shared" si="4"/>
        <v>0</v>
      </c>
      <c r="K31" s="3">
        <v>0</v>
      </c>
      <c r="L31">
        <f t="shared" si="5"/>
        <v>0</v>
      </c>
      <c r="M31" s="3">
        <v>0</v>
      </c>
      <c r="N31">
        <f t="shared" si="6"/>
        <v>0</v>
      </c>
      <c r="O31" s="2">
        <v>0</v>
      </c>
      <c r="P31">
        <f t="shared" si="7"/>
        <v>0</v>
      </c>
      <c r="Q31" s="2">
        <v>0</v>
      </c>
      <c r="R31">
        <f t="shared" si="8"/>
        <v>0</v>
      </c>
      <c r="S31" s="2">
        <v>0</v>
      </c>
      <c r="T31">
        <f t="shared" si="9"/>
        <v>0</v>
      </c>
      <c r="U31" s="2">
        <v>0</v>
      </c>
      <c r="V31">
        <f t="shared" si="10"/>
        <v>0</v>
      </c>
      <c r="W31" s="2">
        <v>0</v>
      </c>
      <c r="X31">
        <f t="shared" si="11"/>
        <v>0</v>
      </c>
      <c r="Y31" s="2">
        <v>0</v>
      </c>
      <c r="Z31">
        <f t="shared" si="12"/>
        <v>0</v>
      </c>
    </row>
    <row r="32" spans="1:26" x14ac:dyDescent="0.2">
      <c r="A32" s="3">
        <v>0</v>
      </c>
      <c r="B32">
        <f t="shared" si="0"/>
        <v>0</v>
      </c>
      <c r="C32" s="3">
        <v>0</v>
      </c>
      <c r="D32">
        <f t="shared" si="1"/>
        <v>0</v>
      </c>
      <c r="E32" s="3">
        <v>0</v>
      </c>
      <c r="F32">
        <f t="shared" si="2"/>
        <v>0</v>
      </c>
      <c r="G32" s="3">
        <v>0</v>
      </c>
      <c r="H32">
        <f t="shared" si="3"/>
        <v>0</v>
      </c>
      <c r="I32" s="3">
        <v>0</v>
      </c>
      <c r="J32">
        <f t="shared" si="4"/>
        <v>0</v>
      </c>
      <c r="K32" s="3">
        <v>0</v>
      </c>
      <c r="L32">
        <f t="shared" si="5"/>
        <v>0</v>
      </c>
      <c r="M32" s="3">
        <v>0</v>
      </c>
      <c r="N32">
        <f t="shared" si="6"/>
        <v>0</v>
      </c>
      <c r="O32" s="2">
        <v>0</v>
      </c>
      <c r="P32">
        <f t="shared" si="7"/>
        <v>0</v>
      </c>
      <c r="Q32" s="2">
        <v>0</v>
      </c>
      <c r="R32">
        <f t="shared" si="8"/>
        <v>0</v>
      </c>
      <c r="S32" s="2">
        <v>0</v>
      </c>
      <c r="T32">
        <f t="shared" si="9"/>
        <v>0</v>
      </c>
      <c r="U32" s="2">
        <v>0</v>
      </c>
      <c r="V32">
        <f t="shared" si="10"/>
        <v>0</v>
      </c>
      <c r="W32" s="2">
        <v>0</v>
      </c>
      <c r="X32">
        <f t="shared" si="11"/>
        <v>0</v>
      </c>
      <c r="Y32" s="2">
        <v>0</v>
      </c>
      <c r="Z32">
        <f t="shared" si="12"/>
        <v>0</v>
      </c>
    </row>
    <row r="33" spans="1:26" x14ac:dyDescent="0.2">
      <c r="A33" s="3">
        <v>0</v>
      </c>
      <c r="B33">
        <f t="shared" si="0"/>
        <v>0</v>
      </c>
      <c r="C33" s="3">
        <v>0</v>
      </c>
      <c r="D33">
        <f t="shared" si="1"/>
        <v>0</v>
      </c>
      <c r="E33" s="3">
        <v>0</v>
      </c>
      <c r="F33">
        <f t="shared" si="2"/>
        <v>0</v>
      </c>
      <c r="G33" s="3">
        <v>0</v>
      </c>
      <c r="H33">
        <f t="shared" si="3"/>
        <v>0</v>
      </c>
      <c r="I33" s="3">
        <v>0</v>
      </c>
      <c r="J33">
        <f t="shared" si="4"/>
        <v>0</v>
      </c>
      <c r="K33" s="3">
        <v>0</v>
      </c>
      <c r="L33">
        <f t="shared" si="5"/>
        <v>0</v>
      </c>
      <c r="M33" s="3">
        <v>0</v>
      </c>
      <c r="N33">
        <f t="shared" si="6"/>
        <v>0</v>
      </c>
      <c r="O33" s="2">
        <v>0</v>
      </c>
      <c r="P33">
        <f t="shared" si="7"/>
        <v>0</v>
      </c>
      <c r="Q33" s="2">
        <v>0</v>
      </c>
      <c r="R33">
        <f t="shared" si="8"/>
        <v>0</v>
      </c>
      <c r="S33" s="2">
        <v>0</v>
      </c>
      <c r="T33">
        <f t="shared" si="9"/>
        <v>0</v>
      </c>
      <c r="U33" s="2">
        <v>0</v>
      </c>
      <c r="V33">
        <f t="shared" si="10"/>
        <v>0</v>
      </c>
      <c r="W33" s="2">
        <v>0</v>
      </c>
      <c r="X33">
        <f t="shared" si="11"/>
        <v>0</v>
      </c>
      <c r="Y33" s="2">
        <v>0</v>
      </c>
      <c r="Z33">
        <f t="shared" si="12"/>
        <v>0</v>
      </c>
    </row>
    <row r="34" spans="1:26" x14ac:dyDescent="0.2">
      <c r="A34" s="3">
        <v>0</v>
      </c>
      <c r="B34">
        <f t="shared" si="0"/>
        <v>0</v>
      </c>
      <c r="C34" s="3">
        <v>0</v>
      </c>
      <c r="D34">
        <f t="shared" si="1"/>
        <v>0</v>
      </c>
      <c r="E34" s="3">
        <v>0</v>
      </c>
      <c r="F34">
        <f t="shared" si="2"/>
        <v>0</v>
      </c>
      <c r="G34" s="3">
        <v>0</v>
      </c>
      <c r="H34">
        <f t="shared" si="3"/>
        <v>0</v>
      </c>
      <c r="I34" s="3">
        <v>0</v>
      </c>
      <c r="J34">
        <f t="shared" si="4"/>
        <v>0</v>
      </c>
      <c r="K34" s="3">
        <v>0</v>
      </c>
      <c r="L34">
        <f t="shared" si="5"/>
        <v>0</v>
      </c>
      <c r="M34" s="3">
        <v>0</v>
      </c>
      <c r="N34">
        <f t="shared" si="6"/>
        <v>0</v>
      </c>
      <c r="O34" s="2">
        <v>0</v>
      </c>
      <c r="P34">
        <f t="shared" si="7"/>
        <v>0</v>
      </c>
      <c r="Q34" s="2">
        <v>0</v>
      </c>
      <c r="R34">
        <f t="shared" si="8"/>
        <v>0</v>
      </c>
      <c r="S34" s="2">
        <v>0</v>
      </c>
      <c r="T34">
        <f t="shared" si="9"/>
        <v>0</v>
      </c>
      <c r="U34" s="2">
        <v>0</v>
      </c>
      <c r="V34">
        <f t="shared" si="10"/>
        <v>0</v>
      </c>
      <c r="W34" s="2">
        <v>0</v>
      </c>
      <c r="X34">
        <f t="shared" si="11"/>
        <v>0</v>
      </c>
      <c r="Y34" s="2">
        <v>0</v>
      </c>
      <c r="Z34">
        <f t="shared" si="12"/>
        <v>0</v>
      </c>
    </row>
    <row r="35" spans="1:26" x14ac:dyDescent="0.2">
      <c r="A35" s="3">
        <v>0</v>
      </c>
      <c r="B35">
        <f t="shared" si="0"/>
        <v>0</v>
      </c>
      <c r="C35" s="3">
        <v>2E-3</v>
      </c>
      <c r="D35">
        <f t="shared" si="1"/>
        <v>3.7330147827385396E-6</v>
      </c>
      <c r="E35" s="3">
        <v>6.0000000000000001E-3</v>
      </c>
      <c r="F35">
        <f t="shared" si="2"/>
        <v>4.1939828927437807E-6</v>
      </c>
      <c r="G35" s="3">
        <v>1.4999999999999999E-2</v>
      </c>
      <c r="H35">
        <f t="shared" si="3"/>
        <v>1.7112270182211454E-5</v>
      </c>
      <c r="I35" s="3">
        <v>8.5999999999999993E-2</v>
      </c>
      <c r="J35">
        <f t="shared" si="4"/>
        <v>3.8009621737967854E-5</v>
      </c>
      <c r="K35" s="3">
        <v>0.26900000000000002</v>
      </c>
      <c r="L35">
        <f t="shared" si="5"/>
        <v>1.1631552206860021E-4</v>
      </c>
      <c r="M35" s="3">
        <v>0.45700000000000002</v>
      </c>
      <c r="N35">
        <f t="shared" si="6"/>
        <v>8.0231459861447119E-4</v>
      </c>
      <c r="O35" s="2">
        <v>0</v>
      </c>
      <c r="P35">
        <f t="shared" si="7"/>
        <v>0</v>
      </c>
      <c r="Q35" s="2">
        <v>0</v>
      </c>
      <c r="R35">
        <f t="shared" si="8"/>
        <v>0</v>
      </c>
      <c r="S35" s="2">
        <v>0</v>
      </c>
      <c r="T35">
        <f t="shared" si="9"/>
        <v>0</v>
      </c>
      <c r="U35" s="2">
        <v>0</v>
      </c>
      <c r="V35">
        <f t="shared" si="10"/>
        <v>0</v>
      </c>
      <c r="W35" s="2">
        <v>0</v>
      </c>
      <c r="X35">
        <f t="shared" si="11"/>
        <v>0</v>
      </c>
      <c r="Y35" s="2">
        <v>0</v>
      </c>
      <c r="Z35">
        <f t="shared" si="12"/>
        <v>0</v>
      </c>
    </row>
    <row r="36" spans="1:26" x14ac:dyDescent="0.2">
      <c r="A36" s="3">
        <v>5.8449999999999998</v>
      </c>
      <c r="B36">
        <f t="shared" si="0"/>
        <v>2.4957866254018556E-3</v>
      </c>
      <c r="C36" s="3">
        <v>2.3559999999999999</v>
      </c>
      <c r="D36">
        <f t="shared" si="1"/>
        <v>4.3974914140659993E-3</v>
      </c>
      <c r="E36" s="3">
        <v>7.0549999999999997</v>
      </c>
      <c r="F36">
        <f t="shared" si="2"/>
        <v>4.9314248847178947E-3</v>
      </c>
      <c r="G36" s="3">
        <v>9.3010000000000002</v>
      </c>
      <c r="H36">
        <f t="shared" si="3"/>
        <v>1.0610748330983249E-2</v>
      </c>
      <c r="I36" s="3">
        <v>15.039</v>
      </c>
      <c r="J36">
        <f t="shared" si="4"/>
        <v>6.6468221083406812E-3</v>
      </c>
      <c r="K36" s="3">
        <v>19.024999999999999</v>
      </c>
      <c r="L36">
        <f t="shared" si="5"/>
        <v>8.2264044883089919E-3</v>
      </c>
      <c r="M36" s="3">
        <v>10.638999999999999</v>
      </c>
      <c r="N36">
        <f t="shared" si="6"/>
        <v>1.8677954080217416E-2</v>
      </c>
      <c r="O36" s="2">
        <v>0.24</v>
      </c>
      <c r="P36">
        <f t="shared" si="7"/>
        <v>7.0307007265057412E-4</v>
      </c>
      <c r="Q36" s="2">
        <v>20.81</v>
      </c>
      <c r="R36">
        <f t="shared" si="8"/>
        <v>8.0316170142145336E-3</v>
      </c>
      <c r="S36" s="2">
        <v>33.619999999999997</v>
      </c>
      <c r="T36">
        <f t="shared" si="9"/>
        <v>3.4268008031882902E-2</v>
      </c>
      <c r="U36" s="2">
        <v>0.11</v>
      </c>
      <c r="V36">
        <f t="shared" si="10"/>
        <v>2.1380396120429941E-4</v>
      </c>
      <c r="W36" s="2">
        <v>0.38</v>
      </c>
      <c r="X36">
        <f t="shared" si="11"/>
        <v>1.7161954656309277E-3</v>
      </c>
      <c r="Y36" s="2">
        <v>0.2</v>
      </c>
      <c r="Z36">
        <f t="shared" si="12"/>
        <v>1.450557739450819E-4</v>
      </c>
    </row>
    <row r="37" spans="1:26" x14ac:dyDescent="0.2">
      <c r="A37" s="3">
        <v>61.82</v>
      </c>
      <c r="B37">
        <f t="shared" si="0"/>
        <v>2.6396839894327239E-2</v>
      </c>
      <c r="C37" s="3">
        <v>19.309999999999999</v>
      </c>
      <c r="D37">
        <f t="shared" si="1"/>
        <v>3.6042257727340599E-2</v>
      </c>
      <c r="E37" s="3">
        <v>46.081000000000003</v>
      </c>
      <c r="F37">
        <f t="shared" si="2"/>
        <v>3.2210487613421025E-2</v>
      </c>
      <c r="G37" s="3">
        <v>50.470999999999997</v>
      </c>
      <c r="H37">
        <f t="shared" si="3"/>
        <v>5.7578225891092946E-2</v>
      </c>
      <c r="I37" s="3">
        <v>99.945999999999998</v>
      </c>
      <c r="J37">
        <f t="shared" si="4"/>
        <v>4.4173368072359713E-2</v>
      </c>
      <c r="K37" s="3">
        <v>84.677999999999997</v>
      </c>
      <c r="L37">
        <f t="shared" si="5"/>
        <v>3.661474266812241E-2</v>
      </c>
      <c r="M37" s="3">
        <v>36.960999999999999</v>
      </c>
      <c r="N37">
        <f t="shared" si="6"/>
        <v>6.4889168226235167E-2</v>
      </c>
      <c r="O37" s="2">
        <v>7.7</v>
      </c>
      <c r="P37">
        <f t="shared" si="7"/>
        <v>2.2556831497539256E-2</v>
      </c>
      <c r="Q37" s="2">
        <v>159.91</v>
      </c>
      <c r="R37">
        <f t="shared" si="8"/>
        <v>6.1717245398512539E-2</v>
      </c>
      <c r="S37" s="2">
        <v>135.87</v>
      </c>
      <c r="T37">
        <f t="shared" si="9"/>
        <v>0.13848882365532214</v>
      </c>
      <c r="U37" s="2">
        <v>2.57</v>
      </c>
      <c r="V37">
        <f t="shared" si="10"/>
        <v>4.9952380026822675E-3</v>
      </c>
      <c r="W37" s="2">
        <v>2.19</v>
      </c>
      <c r="X37">
        <f t="shared" si="11"/>
        <v>9.8907054466624515E-3</v>
      </c>
      <c r="Y37" s="2">
        <v>44.95</v>
      </c>
      <c r="Z37">
        <f t="shared" si="12"/>
        <v>3.2601285194157156E-2</v>
      </c>
    </row>
    <row r="38" spans="1:26" x14ac:dyDescent="0.2">
      <c r="A38" s="3">
        <v>203.19200000000001</v>
      </c>
      <c r="B38">
        <f t="shared" si="0"/>
        <v>8.676199760284925E-2</v>
      </c>
      <c r="C38" s="3">
        <v>54.517000000000003</v>
      </c>
      <c r="D38">
        <f t="shared" si="1"/>
        <v>0.10175638345527849</v>
      </c>
      <c r="E38" s="3">
        <v>137.79400000000001</v>
      </c>
      <c r="F38">
        <f t="shared" si="2"/>
        <v>9.6317613120456086E-2</v>
      </c>
      <c r="G38" s="3">
        <v>129.012</v>
      </c>
      <c r="H38">
        <f t="shared" si="3"/>
        <v>0.14717921338316428</v>
      </c>
      <c r="I38" s="3">
        <v>265.887</v>
      </c>
      <c r="J38">
        <f t="shared" si="4"/>
        <v>0.11751470110515184</v>
      </c>
      <c r="K38" s="3">
        <v>203.416</v>
      </c>
      <c r="L38">
        <f t="shared" si="5"/>
        <v>8.7957019468796943E-2</v>
      </c>
      <c r="M38" s="3">
        <v>74.191999999999993</v>
      </c>
      <c r="N38">
        <f t="shared" si="6"/>
        <v>0.13025235164202373</v>
      </c>
      <c r="O38" s="2">
        <v>28.08</v>
      </c>
      <c r="P38">
        <f t="shared" si="7"/>
        <v>8.2259198500117175E-2</v>
      </c>
      <c r="Q38" s="2">
        <v>334.36</v>
      </c>
      <c r="R38">
        <f t="shared" si="8"/>
        <v>0.12904620206020045</v>
      </c>
      <c r="S38" s="2">
        <v>201.37</v>
      </c>
      <c r="T38">
        <f t="shared" si="9"/>
        <v>0.20525130212314874</v>
      </c>
      <c r="U38" s="2">
        <v>14.72</v>
      </c>
      <c r="V38">
        <f t="shared" si="10"/>
        <v>2.8610857353884429E-2</v>
      </c>
      <c r="W38" s="2">
        <v>10.34</v>
      </c>
      <c r="X38">
        <f t="shared" si="11"/>
        <v>4.6698581880588931E-2</v>
      </c>
      <c r="Y38" s="2">
        <v>130.41</v>
      </c>
      <c r="Z38">
        <f t="shared" si="12"/>
        <v>9.4583617400890635E-2</v>
      </c>
    </row>
    <row r="39" spans="1:26" x14ac:dyDescent="0.2">
      <c r="A39" s="3">
        <v>388.37900000000002</v>
      </c>
      <c r="B39">
        <f t="shared" si="0"/>
        <v>0.16583594761111162</v>
      </c>
      <c r="C39" s="3">
        <v>100.005</v>
      </c>
      <c r="D39">
        <f t="shared" si="1"/>
        <v>0.18666007167388382</v>
      </c>
      <c r="E39" s="3">
        <v>271.95499999999998</v>
      </c>
      <c r="F39">
        <f t="shared" si="2"/>
        <v>0.19009576959935578</v>
      </c>
      <c r="G39" s="3">
        <v>227.78100000000001</v>
      </c>
      <c r="H39">
        <f t="shared" si="3"/>
        <v>0.2598566676249538</v>
      </c>
      <c r="I39" s="3">
        <v>460.33699999999999</v>
      </c>
      <c r="J39">
        <f t="shared" si="4"/>
        <v>0.20345622374408032</v>
      </c>
      <c r="K39" s="3">
        <v>356.34699999999998</v>
      </c>
      <c r="L39">
        <f t="shared" si="5"/>
        <v>0.15408433956349246</v>
      </c>
      <c r="M39" s="3">
        <v>116.854</v>
      </c>
      <c r="N39">
        <f t="shared" si="6"/>
        <v>0.20515026281508844</v>
      </c>
      <c r="O39" s="2">
        <v>56.36</v>
      </c>
      <c r="P39">
        <f t="shared" si="7"/>
        <v>0.16510428872744315</v>
      </c>
      <c r="Q39" s="2">
        <v>554</v>
      </c>
      <c r="R39">
        <f t="shared" si="8"/>
        <v>0.2138162338238756</v>
      </c>
      <c r="S39" s="2">
        <v>257.76</v>
      </c>
      <c r="T39">
        <f t="shared" si="9"/>
        <v>0.26272819007430509</v>
      </c>
      <c r="U39" s="2">
        <v>40.729999999999997</v>
      </c>
      <c r="V39">
        <f t="shared" si="10"/>
        <v>7.9165775816828307E-2</v>
      </c>
      <c r="W39" s="2">
        <v>29.76</v>
      </c>
      <c r="X39">
        <f t="shared" si="11"/>
        <v>0.13440520278204318</v>
      </c>
      <c r="Y39" s="2">
        <v>229.67</v>
      </c>
      <c r="Z39">
        <f t="shared" si="12"/>
        <v>0.16657479800983477</v>
      </c>
    </row>
    <row r="40" spans="1:26" x14ac:dyDescent="0.2">
      <c r="A40" s="3">
        <v>580.56600000000003</v>
      </c>
      <c r="B40">
        <f t="shared" si="0"/>
        <v>0.24789886363781929</v>
      </c>
      <c r="C40" s="3">
        <v>152.36199999999999</v>
      </c>
      <c r="D40">
        <f t="shared" si="1"/>
        <v>0.28438479916380466</v>
      </c>
      <c r="E40" s="3">
        <v>419.572</v>
      </c>
      <c r="F40">
        <f t="shared" si="2"/>
        <v>0.29327963171238225</v>
      </c>
      <c r="G40" s="3">
        <v>326.483</v>
      </c>
      <c r="H40">
        <f t="shared" si="3"/>
        <v>0.37245768705992949</v>
      </c>
      <c r="I40" s="3">
        <v>653.65899999999999</v>
      </c>
      <c r="J40">
        <f t="shared" si="4"/>
        <v>0.28889920157695731</v>
      </c>
      <c r="K40" s="3">
        <v>521.44899999999996</v>
      </c>
      <c r="L40">
        <f t="shared" si="5"/>
        <v>0.22547439653215429</v>
      </c>
      <c r="M40" s="3">
        <v>162.482</v>
      </c>
      <c r="N40">
        <f t="shared" si="6"/>
        <v>0.28525531862598796</v>
      </c>
      <c r="O40" s="2">
        <v>89.17</v>
      </c>
      <c r="P40">
        <f t="shared" si="7"/>
        <v>0.26121982657604875</v>
      </c>
      <c r="Q40" s="2">
        <v>803.47</v>
      </c>
      <c r="R40">
        <f t="shared" si="8"/>
        <v>0.31009915052431292</v>
      </c>
      <c r="S40" s="2">
        <v>326.74</v>
      </c>
      <c r="T40">
        <f t="shared" si="9"/>
        <v>0.33303774373401013</v>
      </c>
      <c r="U40" s="2">
        <v>76.650000000000006</v>
      </c>
      <c r="V40">
        <f t="shared" si="10"/>
        <v>0.14898248751190502</v>
      </c>
      <c r="W40" s="2">
        <v>56.54</v>
      </c>
      <c r="X40">
        <f t="shared" si="11"/>
        <v>0.25535182007045437</v>
      </c>
      <c r="Y40" s="2">
        <v>371.11</v>
      </c>
      <c r="Z40">
        <f t="shared" si="12"/>
        <v>0.26915824134379668</v>
      </c>
    </row>
    <row r="41" spans="1:26" x14ac:dyDescent="0.2">
      <c r="A41" s="3">
        <v>780.52800000000002</v>
      </c>
      <c r="B41">
        <f t="shared" si="0"/>
        <v>0.33328166692072875</v>
      </c>
      <c r="C41" s="3">
        <v>211.834</v>
      </c>
      <c r="D41">
        <f t="shared" si="1"/>
        <v>0.3953897267433179</v>
      </c>
      <c r="E41" s="3">
        <v>569.14300000000003</v>
      </c>
      <c r="F41">
        <f t="shared" si="2"/>
        <v>0.39782933425414557</v>
      </c>
      <c r="G41" s="3">
        <v>427.642</v>
      </c>
      <c r="H41">
        <f t="shared" si="3"/>
        <v>0.48786169635075138</v>
      </c>
      <c r="I41" s="3">
        <v>855.19200000000001</v>
      </c>
      <c r="J41">
        <f t="shared" si="4"/>
        <v>0.37797121434111869</v>
      </c>
      <c r="K41" s="3">
        <v>692.71699999999998</v>
      </c>
      <c r="L41">
        <f t="shared" si="5"/>
        <v>0.29953063011447778</v>
      </c>
      <c r="M41" s="3">
        <v>210.23500000000001</v>
      </c>
      <c r="N41">
        <f t="shared" si="6"/>
        <v>0.36909104953985417</v>
      </c>
      <c r="O41" s="2">
        <v>121.1</v>
      </c>
      <c r="P41">
        <f t="shared" si="7"/>
        <v>0.35475744082493554</v>
      </c>
      <c r="Q41" s="2">
        <v>1051.1400000000001</v>
      </c>
      <c r="R41">
        <f t="shared" si="8"/>
        <v>0.40568735743976286</v>
      </c>
      <c r="S41" s="2">
        <v>392.5</v>
      </c>
      <c r="T41">
        <f t="shared" si="9"/>
        <v>0.40006523356674717</v>
      </c>
      <c r="U41" s="2">
        <v>111.23</v>
      </c>
      <c r="V41">
        <f t="shared" si="10"/>
        <v>0.21619467822503838</v>
      </c>
      <c r="W41" s="2">
        <v>82.34</v>
      </c>
      <c r="X41">
        <f t="shared" si="11"/>
        <v>0.37187245957908049</v>
      </c>
      <c r="Y41" s="2">
        <v>508.08</v>
      </c>
      <c r="Z41">
        <f t="shared" si="12"/>
        <v>0.36849968813008599</v>
      </c>
    </row>
    <row r="42" spans="1:26" x14ac:dyDescent="0.2">
      <c r="A42" s="3">
        <v>989.61300000000006</v>
      </c>
      <c r="B42">
        <f t="shared" si="0"/>
        <v>0.42255994691596349</v>
      </c>
      <c r="C42" s="3">
        <v>276.57900000000001</v>
      </c>
      <c r="D42">
        <f t="shared" si="1"/>
        <v>0.51623674779752127</v>
      </c>
      <c r="E42" s="3">
        <v>718.83</v>
      </c>
      <c r="F42">
        <f t="shared" si="2"/>
        <v>0.50246012046516864</v>
      </c>
      <c r="G42" s="3">
        <v>533.31500000000005</v>
      </c>
      <c r="H42">
        <f t="shared" si="3"/>
        <v>0.60841535814840686</v>
      </c>
      <c r="I42" s="3">
        <v>1063.6030000000001</v>
      </c>
      <c r="J42">
        <f t="shared" si="4"/>
        <v>0.4700831128996259</v>
      </c>
      <c r="K42" s="3">
        <v>867.16399999999999</v>
      </c>
      <c r="L42">
        <f t="shared" si="5"/>
        <v>0.37496146237582018</v>
      </c>
      <c r="M42" s="3">
        <v>259.767</v>
      </c>
      <c r="N42">
        <f t="shared" si="6"/>
        <v>0.45605001386933336</v>
      </c>
      <c r="O42" s="2">
        <v>149.72999999999999</v>
      </c>
      <c r="P42">
        <f t="shared" si="7"/>
        <v>0.43862784157487694</v>
      </c>
      <c r="Q42" s="2">
        <v>1289.04</v>
      </c>
      <c r="R42">
        <f t="shared" si="8"/>
        <v>0.49750483402225382</v>
      </c>
      <c r="S42" s="2">
        <v>458.69</v>
      </c>
      <c r="T42">
        <f t="shared" si="9"/>
        <v>0.4675310114260669</v>
      </c>
      <c r="U42" s="2">
        <v>149.29</v>
      </c>
      <c r="V42">
        <f t="shared" si="10"/>
        <v>0.29017084880172594</v>
      </c>
      <c r="W42" s="2">
        <v>105.19</v>
      </c>
      <c r="X42">
        <f t="shared" si="11"/>
        <v>0.47507000270978234</v>
      </c>
      <c r="Y42" s="2">
        <v>614.96</v>
      </c>
      <c r="Z42">
        <f t="shared" si="12"/>
        <v>0.44601749372633781</v>
      </c>
    </row>
    <row r="43" spans="1:26" x14ac:dyDescent="0.2">
      <c r="A43" s="3">
        <v>1201.615</v>
      </c>
      <c r="B43">
        <f t="shared" si="0"/>
        <v>0.51308377175059894</v>
      </c>
      <c r="C43" s="3">
        <v>343.31400000000002</v>
      </c>
      <c r="D43">
        <f t="shared" si="1"/>
        <v>0.64079811856054958</v>
      </c>
      <c r="E43" s="3">
        <v>862.495</v>
      </c>
      <c r="F43">
        <f t="shared" si="2"/>
        <v>0.60288154584617448</v>
      </c>
      <c r="G43" s="3">
        <v>636.04300000000001</v>
      </c>
      <c r="H43">
        <f t="shared" si="3"/>
        <v>0.72560931090028802</v>
      </c>
      <c r="I43" s="3">
        <v>1261.548</v>
      </c>
      <c r="J43">
        <f t="shared" si="4"/>
        <v>0.55756932888709154</v>
      </c>
      <c r="K43" s="3">
        <v>1032.0029999999999</v>
      </c>
      <c r="L43">
        <f t="shared" si="5"/>
        <v>0.44623779822067511</v>
      </c>
      <c r="M43" s="3">
        <v>306.65199999999999</v>
      </c>
      <c r="N43">
        <f t="shared" si="6"/>
        <v>0.53836187372937594</v>
      </c>
      <c r="O43" s="2">
        <v>172.5</v>
      </c>
      <c r="P43">
        <f t="shared" si="7"/>
        <v>0.50533161471760013</v>
      </c>
      <c r="Q43" s="2">
        <v>1547</v>
      </c>
      <c r="R43">
        <f t="shared" si="8"/>
        <v>0.59706446520854795</v>
      </c>
      <c r="S43" s="2">
        <v>521.03</v>
      </c>
      <c r="T43">
        <f t="shared" si="9"/>
        <v>0.53107258253575096</v>
      </c>
      <c r="U43" s="2">
        <v>192.61</v>
      </c>
      <c r="V43">
        <f t="shared" si="10"/>
        <v>0.37437073606872828</v>
      </c>
      <c r="W43" s="2">
        <v>131.66</v>
      </c>
      <c r="X43">
        <f t="shared" si="11"/>
        <v>0.59461656580254718</v>
      </c>
      <c r="Y43" s="2">
        <v>714</v>
      </c>
      <c r="Z43">
        <f t="shared" si="12"/>
        <v>0.51784911298394232</v>
      </c>
    </row>
    <row r="44" spans="1:26" x14ac:dyDescent="0.2">
      <c r="A44" s="3">
        <v>1408.3679999999999</v>
      </c>
      <c r="B44">
        <f t="shared" si="0"/>
        <v>0.60136629906654582</v>
      </c>
      <c r="C44" s="3">
        <v>395.221</v>
      </c>
      <c r="D44">
        <f t="shared" si="1"/>
        <v>0.73768291772435424</v>
      </c>
      <c r="E44" s="3">
        <v>987.34100000000001</v>
      </c>
      <c r="F44">
        <f t="shared" si="2"/>
        <v>0.69014854388408942</v>
      </c>
      <c r="G44" s="3">
        <v>713.76599999999996</v>
      </c>
      <c r="H44">
        <f t="shared" si="3"/>
        <v>0.81427710925842267</v>
      </c>
      <c r="I44" s="3">
        <v>1443.1980000000001</v>
      </c>
      <c r="J44">
        <f t="shared" si="4"/>
        <v>0.63785360549990389</v>
      </c>
      <c r="K44" s="3">
        <v>1196.421</v>
      </c>
      <c r="L44">
        <f t="shared" si="5"/>
        <v>0.51733209378749712</v>
      </c>
      <c r="M44" s="3">
        <v>350.04899999999998</v>
      </c>
      <c r="N44">
        <f t="shared" si="6"/>
        <v>0.61455015958511383</v>
      </c>
      <c r="O44" s="2">
        <v>201.61</v>
      </c>
      <c r="P44">
        <f t="shared" si="7"/>
        <v>0.59060815561284274</v>
      </c>
      <c r="Q44" s="2">
        <v>1765.81</v>
      </c>
      <c r="R44">
        <f t="shared" si="8"/>
        <v>0.68151415857136788</v>
      </c>
      <c r="S44" s="2">
        <v>599.42999999999995</v>
      </c>
      <c r="T44">
        <f t="shared" si="9"/>
        <v>0.61098370180105799</v>
      </c>
      <c r="U44" s="2">
        <v>233.9</v>
      </c>
      <c r="V44">
        <f t="shared" si="10"/>
        <v>0.4546249684153239</v>
      </c>
      <c r="W44" s="2">
        <v>157.01</v>
      </c>
      <c r="X44">
        <f t="shared" si="11"/>
        <v>0.70910486857555777</v>
      </c>
      <c r="Y44" s="2">
        <v>773.75</v>
      </c>
      <c r="Z44">
        <f t="shared" si="12"/>
        <v>0.5611845254500355</v>
      </c>
    </row>
    <row r="45" spans="1:26" x14ac:dyDescent="0.2">
      <c r="A45" s="3">
        <v>1611.2909999999999</v>
      </c>
      <c r="B45">
        <f t="shared" si="0"/>
        <v>0.68801343497525769</v>
      </c>
      <c r="C45" s="3">
        <v>428.67500000000001</v>
      </c>
      <c r="D45">
        <f t="shared" si="1"/>
        <v>0.80012505599522177</v>
      </c>
      <c r="E45" s="3">
        <v>1094.4269999999999</v>
      </c>
      <c r="F45">
        <f t="shared" si="2"/>
        <v>0.76500135255948276</v>
      </c>
      <c r="G45" s="3">
        <v>762.54</v>
      </c>
      <c r="H45">
        <f t="shared" si="3"/>
        <v>0.8699193669829014</v>
      </c>
      <c r="I45" s="3">
        <v>1618.4960000000001</v>
      </c>
      <c r="J45">
        <f t="shared" si="4"/>
        <v>0.71533047377225611</v>
      </c>
      <c r="K45" s="3">
        <v>1371.1389999999999</v>
      </c>
      <c r="L45">
        <f t="shared" si="5"/>
        <v>0.59288010637032862</v>
      </c>
      <c r="M45" s="3">
        <v>391.52499999999998</v>
      </c>
      <c r="N45">
        <f t="shared" si="6"/>
        <v>0.68736591514776979</v>
      </c>
      <c r="O45" s="2">
        <v>229.6</v>
      </c>
      <c r="P45">
        <f t="shared" si="7"/>
        <v>0.67260370283571591</v>
      </c>
      <c r="Q45" s="2">
        <v>1978.99</v>
      </c>
      <c r="R45">
        <f t="shared" si="8"/>
        <v>0.76379095410669962</v>
      </c>
      <c r="S45" s="2">
        <v>685.11</v>
      </c>
      <c r="T45">
        <f t="shared" si="9"/>
        <v>0.69831513928385769</v>
      </c>
      <c r="U45" s="2">
        <v>278.37</v>
      </c>
      <c r="V45">
        <f t="shared" si="10"/>
        <v>0.54106007891309837</v>
      </c>
      <c r="W45" s="2">
        <v>179.92</v>
      </c>
      <c r="X45">
        <f t="shared" si="11"/>
        <v>0.81257338993767503</v>
      </c>
      <c r="Y45" s="2">
        <v>827.44</v>
      </c>
      <c r="Z45">
        <f t="shared" si="12"/>
        <v>0.60012474796559279</v>
      </c>
    </row>
    <row r="46" spans="1:26" x14ac:dyDescent="0.2">
      <c r="A46" s="3">
        <v>1791.4960000000001</v>
      </c>
      <c r="B46">
        <f t="shared" si="0"/>
        <v>0.76496009516867802</v>
      </c>
      <c r="C46" s="3">
        <v>459.59500000000003</v>
      </c>
      <c r="D46">
        <f t="shared" si="1"/>
        <v>0.85783746453635967</v>
      </c>
      <c r="E46" s="3">
        <v>1190.5989999999999</v>
      </c>
      <c r="F46">
        <f t="shared" si="2"/>
        <v>0.83222530635297531</v>
      </c>
      <c r="G46" s="3">
        <v>797.303</v>
      </c>
      <c r="H46">
        <f t="shared" si="3"/>
        <v>0.90957762353918259</v>
      </c>
      <c r="I46" s="3">
        <v>1767.1220000000001</v>
      </c>
      <c r="J46">
        <f t="shared" si="4"/>
        <v>0.78101905563768881</v>
      </c>
      <c r="K46" s="3">
        <v>1533.806</v>
      </c>
      <c r="L46">
        <f t="shared" si="5"/>
        <v>0.66321727004442899</v>
      </c>
      <c r="M46" s="3">
        <v>428.76499999999999</v>
      </c>
      <c r="N46">
        <f t="shared" si="6"/>
        <v>0.75274489906987685</v>
      </c>
      <c r="O46" s="2">
        <v>254.37</v>
      </c>
      <c r="P46">
        <f t="shared" si="7"/>
        <v>0.74516639325052725</v>
      </c>
      <c r="Q46" s="2">
        <v>2157.35</v>
      </c>
      <c r="R46">
        <f t="shared" si="8"/>
        <v>0.83262897480133224</v>
      </c>
      <c r="S46" s="2">
        <v>759.69</v>
      </c>
      <c r="T46">
        <f t="shared" si="9"/>
        <v>0.77433263003394182</v>
      </c>
      <c r="U46" s="2">
        <v>318.12</v>
      </c>
      <c r="V46">
        <f t="shared" si="10"/>
        <v>0.61832105580283392</v>
      </c>
      <c r="W46" s="2">
        <v>200.36</v>
      </c>
      <c r="X46">
        <f t="shared" si="11"/>
        <v>0.90488664077319136</v>
      </c>
      <c r="Y46" s="2">
        <v>923.51</v>
      </c>
      <c r="Z46">
        <f t="shared" si="12"/>
        <v>0.66980228898011285</v>
      </c>
    </row>
    <row r="47" spans="1:26" x14ac:dyDescent="0.2">
      <c r="A47" s="3">
        <v>1945.902</v>
      </c>
      <c r="B47">
        <f t="shared" si="0"/>
        <v>0.83089070760354522</v>
      </c>
      <c r="C47" s="3">
        <v>500.67700000000002</v>
      </c>
      <c r="D47">
        <f t="shared" si="1"/>
        <v>0.93451732118859199</v>
      </c>
      <c r="E47" s="3">
        <v>1283.2180000000001</v>
      </c>
      <c r="F47">
        <f t="shared" si="2"/>
        <v>0.89696572327681479</v>
      </c>
      <c r="G47" s="3">
        <v>820.00599999999997</v>
      </c>
      <c r="H47">
        <f t="shared" si="3"/>
        <v>0.93547761486896563</v>
      </c>
      <c r="I47" s="3">
        <v>1899.636</v>
      </c>
      <c r="J47">
        <f t="shared" si="4"/>
        <v>0.8395865790677477</v>
      </c>
      <c r="K47" s="3">
        <v>1689.299</v>
      </c>
      <c r="L47">
        <f t="shared" si="5"/>
        <v>0.73045239819689312</v>
      </c>
      <c r="M47" s="3">
        <v>463.01100000000002</v>
      </c>
      <c r="N47">
        <f t="shared" si="6"/>
        <v>0.81286758122338065</v>
      </c>
      <c r="O47" s="2">
        <v>274.81</v>
      </c>
      <c r="P47">
        <f t="shared" si="7"/>
        <v>0.80504452777126789</v>
      </c>
      <c r="Q47" s="2">
        <v>2302.02</v>
      </c>
      <c r="R47">
        <f t="shared" si="8"/>
        <v>0.8884643440202854</v>
      </c>
      <c r="S47" s="2">
        <v>847.45</v>
      </c>
      <c r="T47">
        <f t="shared" si="9"/>
        <v>0.8637841584360253</v>
      </c>
      <c r="U47" s="2">
        <v>353.58</v>
      </c>
      <c r="V47">
        <f t="shared" si="10"/>
        <v>0.68724367820560162</v>
      </c>
      <c r="W47" s="2">
        <v>214.88</v>
      </c>
      <c r="X47">
        <f t="shared" si="11"/>
        <v>0.97046337277572037</v>
      </c>
      <c r="Y47" s="2">
        <v>1004.1</v>
      </c>
      <c r="Z47">
        <f t="shared" si="12"/>
        <v>0.72825251309128358</v>
      </c>
    </row>
    <row r="48" spans="1:26" x14ac:dyDescent="0.2">
      <c r="A48" s="3">
        <v>2082.1390000000001</v>
      </c>
      <c r="B48">
        <f t="shared" si="0"/>
        <v>0.88906324523996483</v>
      </c>
      <c r="C48" s="3">
        <v>526.04200000000003</v>
      </c>
      <c r="D48">
        <f t="shared" si="1"/>
        <v>0.98186128117067351</v>
      </c>
      <c r="E48" s="3">
        <v>1336.3979999999999</v>
      </c>
      <c r="F48">
        <f t="shared" si="2"/>
        <v>0.9341383916495003</v>
      </c>
      <c r="G48" s="3">
        <v>838.03599999999994</v>
      </c>
      <c r="H48">
        <f t="shared" si="3"/>
        <v>0.95604656362798379</v>
      </c>
      <c r="I48" s="3">
        <v>2018.866</v>
      </c>
      <c r="J48">
        <f t="shared" si="4"/>
        <v>0.89228294185632806</v>
      </c>
      <c r="K48" s="3">
        <v>1835.5309999999999</v>
      </c>
      <c r="L48">
        <f t="shared" si="5"/>
        <v>0.79368307263234128</v>
      </c>
      <c r="M48" s="3">
        <v>493.46499999999997</v>
      </c>
      <c r="N48">
        <f t="shared" si="6"/>
        <v>0.86633298338137854</v>
      </c>
      <c r="O48" s="2">
        <v>291.58999999999997</v>
      </c>
      <c r="P48">
        <f t="shared" si="7"/>
        <v>0.85420084368408711</v>
      </c>
      <c r="Q48" s="2">
        <v>2411.8000000000002</v>
      </c>
      <c r="R48">
        <f t="shared" si="8"/>
        <v>0.93083392190690117</v>
      </c>
      <c r="S48" s="2">
        <v>925.07</v>
      </c>
      <c r="T48">
        <f t="shared" si="9"/>
        <v>0.94290024360660085</v>
      </c>
      <c r="U48" s="2">
        <v>406.5</v>
      </c>
      <c r="V48">
        <f t="shared" si="10"/>
        <v>0.79010282026861556</v>
      </c>
      <c r="W48" s="2">
        <v>219.2</v>
      </c>
      <c r="X48">
        <f t="shared" si="11"/>
        <v>0.98997380543762981</v>
      </c>
      <c r="Y48" s="2">
        <v>1111.0899999999999</v>
      </c>
      <c r="Z48">
        <f t="shared" si="12"/>
        <v>0.80585009936320506</v>
      </c>
    </row>
    <row r="49" spans="1:26" x14ac:dyDescent="0.2">
      <c r="A49" s="3">
        <v>2198.6460000000002</v>
      </c>
      <c r="B49">
        <f t="shared" si="0"/>
        <v>0.93881116865582359</v>
      </c>
      <c r="C49" s="3">
        <v>527.74300000000005</v>
      </c>
      <c r="D49">
        <f t="shared" si="1"/>
        <v>0.98503621024339272</v>
      </c>
      <c r="E49" s="3">
        <v>1341.902</v>
      </c>
      <c r="F49">
        <f t="shared" si="2"/>
        <v>0.93798567195644411</v>
      </c>
      <c r="G49" s="3">
        <v>844.78</v>
      </c>
      <c r="H49">
        <f t="shared" si="3"/>
        <v>0.96374024030190608</v>
      </c>
      <c r="I49" s="3">
        <v>2112.4810000000002</v>
      </c>
      <c r="J49">
        <f t="shared" si="4"/>
        <v>0.93365818300748926</v>
      </c>
      <c r="K49" s="3">
        <v>1964.078</v>
      </c>
      <c r="L49">
        <f t="shared" si="5"/>
        <v>0.84926675819127195</v>
      </c>
      <c r="M49" s="3">
        <v>517.51300000000003</v>
      </c>
      <c r="N49">
        <f t="shared" si="6"/>
        <v>0.90855193626426878</v>
      </c>
      <c r="O49" s="2">
        <v>305.48</v>
      </c>
      <c r="P49">
        <f t="shared" si="7"/>
        <v>0.89489102413873922</v>
      </c>
      <c r="Q49" s="2">
        <v>2511.2399999999998</v>
      </c>
      <c r="R49">
        <f t="shared" si="8"/>
        <v>0.96921277802864503</v>
      </c>
      <c r="S49" s="2">
        <v>963.9</v>
      </c>
      <c r="T49">
        <f t="shared" si="9"/>
        <v>0.98247867168149705</v>
      </c>
      <c r="U49" s="2">
        <v>450.57</v>
      </c>
      <c r="V49">
        <f t="shared" si="10"/>
        <v>0.8757604618165562</v>
      </c>
      <c r="W49" s="2">
        <v>221.42</v>
      </c>
      <c r="X49">
        <f t="shared" si="11"/>
        <v>1</v>
      </c>
      <c r="Y49" s="2">
        <v>1224.46</v>
      </c>
      <c r="Z49">
        <f t="shared" si="12"/>
        <v>0.88807496482397486</v>
      </c>
    </row>
    <row r="50" spans="1:26" x14ac:dyDescent="0.2">
      <c r="A50" s="3">
        <v>2280.3539999999998</v>
      </c>
      <c r="B50">
        <f t="shared" si="0"/>
        <v>0.97370008800369934</v>
      </c>
      <c r="C50" s="3">
        <v>530.38099999999997</v>
      </c>
      <c r="D50">
        <f t="shared" si="1"/>
        <v>0.98996005674182463</v>
      </c>
      <c r="E50" s="3">
        <v>1345.414</v>
      </c>
      <c r="F50">
        <f t="shared" si="2"/>
        <v>0.94044054994299675</v>
      </c>
      <c r="G50" s="3">
        <v>854.01700000000005</v>
      </c>
      <c r="H50">
        <f t="shared" si="3"/>
        <v>0.97427797628011203</v>
      </c>
      <c r="I50" s="3">
        <v>2182.4409999999998</v>
      </c>
      <c r="J50">
        <f t="shared" si="4"/>
        <v>0.96457856831898015</v>
      </c>
      <c r="K50" s="3">
        <v>2080.8879999999999</v>
      </c>
      <c r="L50">
        <f t="shared" si="5"/>
        <v>0.89977536835050309</v>
      </c>
      <c r="M50" s="3">
        <v>537.15</v>
      </c>
      <c r="N50">
        <f t="shared" si="6"/>
        <v>0.94302688543930679</v>
      </c>
      <c r="O50" s="2">
        <v>317.95</v>
      </c>
      <c r="P50">
        <f t="shared" si="7"/>
        <v>0.93142137333020847</v>
      </c>
      <c r="Q50" s="2">
        <v>2567.94</v>
      </c>
      <c r="R50">
        <f t="shared" si="8"/>
        <v>0.99109613625574577</v>
      </c>
      <c r="S50" s="2">
        <v>981.09</v>
      </c>
      <c r="T50">
        <f t="shared" si="9"/>
        <v>1</v>
      </c>
      <c r="U50" s="2">
        <v>484.27</v>
      </c>
      <c r="V50">
        <f t="shared" si="10"/>
        <v>0.94126222084005517</v>
      </c>
      <c r="W50" s="2">
        <v>218.48</v>
      </c>
      <c r="X50">
        <f t="shared" si="11"/>
        <v>0.98672206666064499</v>
      </c>
      <c r="Y50" s="2">
        <v>1304.25</v>
      </c>
      <c r="Z50">
        <f t="shared" si="12"/>
        <v>0.94594496583936527</v>
      </c>
    </row>
    <row r="51" spans="1:26" x14ac:dyDescent="0.2">
      <c r="A51" s="3">
        <v>2326.8069999999998</v>
      </c>
      <c r="B51">
        <f t="shared" si="0"/>
        <v>0.99353529349724812</v>
      </c>
      <c r="C51" s="3">
        <v>535.76</v>
      </c>
      <c r="D51">
        <f t="shared" si="1"/>
        <v>1</v>
      </c>
      <c r="E51" s="3">
        <v>1347.319</v>
      </c>
      <c r="F51">
        <f t="shared" si="2"/>
        <v>0.9417721395114429</v>
      </c>
      <c r="G51" s="3">
        <v>866.42700000000002</v>
      </c>
      <c r="H51">
        <f t="shared" si="3"/>
        <v>0.98843552781086153</v>
      </c>
      <c r="I51" s="3">
        <v>2228.8629999999998</v>
      </c>
      <c r="J51">
        <f t="shared" si="4"/>
        <v>0.98509580855525858</v>
      </c>
      <c r="K51" s="3">
        <v>2185.828</v>
      </c>
      <c r="L51">
        <f t="shared" si="5"/>
        <v>0.94515139394856595</v>
      </c>
      <c r="M51" s="3">
        <v>552.36599999999999</v>
      </c>
      <c r="N51">
        <f t="shared" si="6"/>
        <v>0.969740274788361</v>
      </c>
      <c r="O51" s="2">
        <v>328.15</v>
      </c>
      <c r="P51">
        <f t="shared" si="7"/>
        <v>0.96130185141785784</v>
      </c>
      <c r="Q51" s="2">
        <v>2591.0100000000002</v>
      </c>
      <c r="R51">
        <f t="shared" si="8"/>
        <v>1</v>
      </c>
      <c r="S51" s="2">
        <v>936.11</v>
      </c>
      <c r="T51">
        <f t="shared" si="9"/>
        <v>0.954153033870491</v>
      </c>
      <c r="U51" s="2">
        <v>514.49</v>
      </c>
      <c r="V51">
        <f t="shared" si="10"/>
        <v>1</v>
      </c>
      <c r="W51" s="2">
        <v>213.61</v>
      </c>
      <c r="X51">
        <f t="shared" si="11"/>
        <v>0.96472766687742761</v>
      </c>
      <c r="Y51" s="2">
        <v>1346.52</v>
      </c>
      <c r="Z51">
        <f t="shared" si="12"/>
        <v>0.97660250366265833</v>
      </c>
    </row>
    <row r="52" spans="1:26" x14ac:dyDescent="0.2">
      <c r="A52" s="3">
        <v>2341.9470000000001</v>
      </c>
      <c r="B52">
        <f t="shared" si="0"/>
        <v>1</v>
      </c>
      <c r="C52" s="3">
        <v>526.21299999999997</v>
      </c>
      <c r="D52">
        <f t="shared" si="1"/>
        <v>0.98218045393459752</v>
      </c>
      <c r="E52" s="3">
        <v>1349.027</v>
      </c>
      <c r="F52">
        <f t="shared" si="2"/>
        <v>0.94296602664157725</v>
      </c>
      <c r="G52" s="3">
        <v>876.56399999999996</v>
      </c>
      <c r="H52">
        <f t="shared" si="3"/>
        <v>1</v>
      </c>
      <c r="I52" s="3">
        <v>2256.0720000000001</v>
      </c>
      <c r="J52">
        <f t="shared" si="4"/>
        <v>0.99712143411186771</v>
      </c>
      <c r="K52" s="3">
        <v>2257.9</v>
      </c>
      <c r="L52">
        <f t="shared" si="5"/>
        <v>0.97631530586874504</v>
      </c>
      <c r="M52" s="3">
        <v>562.42499999999995</v>
      </c>
      <c r="N52">
        <f t="shared" si="6"/>
        <v>0.98739997401694513</v>
      </c>
      <c r="O52" s="2">
        <v>337.66</v>
      </c>
      <c r="P52">
        <f t="shared" si="7"/>
        <v>0.98916100304663701</v>
      </c>
      <c r="Q52" s="2">
        <v>2557.2399999999998</v>
      </c>
      <c r="R52">
        <f t="shared" si="8"/>
        <v>0.98696647253387659</v>
      </c>
      <c r="S52" s="2">
        <v>851.39</v>
      </c>
      <c r="T52">
        <f t="shared" si="9"/>
        <v>0.86780009988889906</v>
      </c>
      <c r="U52" s="2">
        <v>493.29</v>
      </c>
      <c r="V52">
        <f t="shared" si="10"/>
        <v>0.95879414565880783</v>
      </c>
      <c r="W52" s="2">
        <v>203.38</v>
      </c>
      <c r="X52">
        <f t="shared" si="11"/>
        <v>0.91852587842110023</v>
      </c>
      <c r="Y52" s="2">
        <v>1351.84</v>
      </c>
      <c r="Z52">
        <f t="shared" si="12"/>
        <v>0.9804609872495974</v>
      </c>
    </row>
    <row r="53" spans="1:26" x14ac:dyDescent="0.2">
      <c r="A53" s="3">
        <v>2327.8270000000002</v>
      </c>
      <c r="B53">
        <f t="shared" si="0"/>
        <v>0.99397082854565033</v>
      </c>
      <c r="C53" s="3">
        <v>497.58499999999998</v>
      </c>
      <c r="D53">
        <f t="shared" si="1"/>
        <v>0.92874608033447814</v>
      </c>
      <c r="E53" s="3">
        <v>1349.529</v>
      </c>
      <c r="F53">
        <f t="shared" si="2"/>
        <v>0.94331692321027016</v>
      </c>
      <c r="G53" s="3">
        <v>858.48500000000001</v>
      </c>
      <c r="H53">
        <f t="shared" si="3"/>
        <v>0.97937515115838669</v>
      </c>
      <c r="I53" s="3">
        <v>2262.585</v>
      </c>
      <c r="J53">
        <f t="shared" si="4"/>
        <v>1</v>
      </c>
      <c r="K53" s="3">
        <v>2294.59</v>
      </c>
      <c r="L53">
        <f t="shared" si="5"/>
        <v>0.9921800512393657</v>
      </c>
      <c r="M53" s="3">
        <v>567.56399999999996</v>
      </c>
      <c r="N53">
        <f t="shared" si="6"/>
        <v>0.99642206312477832</v>
      </c>
      <c r="O53" s="2">
        <v>341.36</v>
      </c>
      <c r="P53">
        <f t="shared" si="7"/>
        <v>1</v>
      </c>
      <c r="Q53" s="2">
        <v>2511.0700000000002</v>
      </c>
      <c r="R53">
        <f t="shared" si="8"/>
        <v>0.96914716654895194</v>
      </c>
      <c r="S53" s="2">
        <v>766.96</v>
      </c>
      <c r="T53">
        <f t="shared" si="9"/>
        <v>0.78174275550663042</v>
      </c>
      <c r="U53" s="2">
        <v>438.2</v>
      </c>
      <c r="V53">
        <f t="shared" si="10"/>
        <v>0.85171723454294546</v>
      </c>
      <c r="W53" s="2">
        <v>195.99</v>
      </c>
      <c r="X53">
        <f t="shared" si="11"/>
        <v>0.88515039291843567</v>
      </c>
      <c r="Y53" s="2">
        <v>1378.78</v>
      </c>
      <c r="Z53">
        <f t="shared" si="12"/>
        <v>1</v>
      </c>
    </row>
    <row r="54" spans="1:26" x14ac:dyDescent="0.2">
      <c r="A54" s="3">
        <v>2291.4140000000002</v>
      </c>
      <c r="B54">
        <f t="shared" si="0"/>
        <v>0.97842265431284314</v>
      </c>
      <c r="C54" s="3">
        <v>469.428</v>
      </c>
      <c r="D54">
        <f t="shared" si="1"/>
        <v>0.87619083171569356</v>
      </c>
      <c r="E54" s="3">
        <v>1363.9849999999999</v>
      </c>
      <c r="F54">
        <f t="shared" si="2"/>
        <v>0.95342162599318747</v>
      </c>
      <c r="G54" s="3">
        <v>818.21400000000006</v>
      </c>
      <c r="H54">
        <f t="shared" si="3"/>
        <v>0.9334332689911975</v>
      </c>
      <c r="I54" s="3">
        <v>2246.3879999999999</v>
      </c>
      <c r="J54">
        <f t="shared" si="4"/>
        <v>0.99284137391523408</v>
      </c>
      <c r="K54" s="3">
        <v>2312.6750000000002</v>
      </c>
      <c r="L54">
        <f t="shared" si="5"/>
        <v>1</v>
      </c>
      <c r="M54" s="3">
        <v>569.60199999999998</v>
      </c>
      <c r="N54">
        <f t="shared" si="6"/>
        <v>1</v>
      </c>
      <c r="O54" s="2">
        <v>335.58</v>
      </c>
      <c r="P54">
        <f t="shared" si="7"/>
        <v>0.98306772908366524</v>
      </c>
      <c r="Q54" s="2">
        <v>2462.44</v>
      </c>
      <c r="R54">
        <f t="shared" si="8"/>
        <v>0.95037842385787774</v>
      </c>
      <c r="S54" s="2">
        <v>670.76</v>
      </c>
      <c r="T54">
        <f t="shared" si="9"/>
        <v>0.6836885504897614</v>
      </c>
      <c r="U54" s="2">
        <v>389.99</v>
      </c>
      <c r="V54">
        <f t="shared" si="10"/>
        <v>0.75801278936422478</v>
      </c>
      <c r="W54" s="2">
        <v>186.02</v>
      </c>
      <c r="X54">
        <f t="shared" si="11"/>
        <v>0.8401228434649084</v>
      </c>
      <c r="Y54" s="2">
        <v>1358.05</v>
      </c>
      <c r="Z54">
        <f t="shared" si="12"/>
        <v>0.98496496903059227</v>
      </c>
    </row>
    <row r="55" spans="1:26" x14ac:dyDescent="0.2">
      <c r="A55" s="3">
        <v>2229.48</v>
      </c>
      <c r="B55">
        <f t="shared" si="0"/>
        <v>0.95197713697192976</v>
      </c>
      <c r="C55" s="3">
        <v>443.65699999999998</v>
      </c>
      <c r="D55">
        <f t="shared" si="1"/>
        <v>0.82808906973271612</v>
      </c>
      <c r="E55" s="3">
        <v>1388.933</v>
      </c>
      <c r="F55">
        <f t="shared" si="2"/>
        <v>0.9708602068612161</v>
      </c>
      <c r="G55" s="3">
        <v>764.14800000000002</v>
      </c>
      <c r="H55">
        <f t="shared" si="3"/>
        <v>0.87175380234643451</v>
      </c>
      <c r="I55" s="3">
        <v>2205.6529999999998</v>
      </c>
      <c r="J55">
        <f t="shared" si="4"/>
        <v>0.97483763040946514</v>
      </c>
      <c r="K55" s="3">
        <v>2309.87</v>
      </c>
      <c r="L55">
        <f t="shared" si="5"/>
        <v>0.99878711881263027</v>
      </c>
      <c r="M55" s="3">
        <v>567.99599999999998</v>
      </c>
      <c r="N55">
        <f t="shared" si="6"/>
        <v>0.99718048742806387</v>
      </c>
      <c r="O55" s="2">
        <v>329.78</v>
      </c>
      <c r="P55">
        <f t="shared" si="7"/>
        <v>0.96607686899460965</v>
      </c>
      <c r="Q55" s="2">
        <v>2333.3200000000002</v>
      </c>
      <c r="R55">
        <f t="shared" si="8"/>
        <v>0.90054457528145393</v>
      </c>
      <c r="S55" s="2">
        <v>577.12</v>
      </c>
      <c r="T55">
        <f t="shared" si="9"/>
        <v>0.58824368814277994</v>
      </c>
      <c r="U55" s="2">
        <v>332.23</v>
      </c>
      <c r="V55">
        <f t="shared" si="10"/>
        <v>0.64574627300822174</v>
      </c>
      <c r="W55" s="2">
        <v>178.42</v>
      </c>
      <c r="X55">
        <f t="shared" si="11"/>
        <v>0.80579893415228976</v>
      </c>
      <c r="Y55" s="2">
        <v>1317.69</v>
      </c>
      <c r="Z55">
        <f t="shared" si="12"/>
        <v>0.95569271384847476</v>
      </c>
    </row>
    <row r="56" spans="1:26" x14ac:dyDescent="0.2">
      <c r="A56" s="3">
        <v>2145.944</v>
      </c>
      <c r="B56">
        <f t="shared" si="0"/>
        <v>0.91630767049809403</v>
      </c>
      <c r="C56" s="3">
        <v>418.09399999999999</v>
      </c>
      <c r="D56">
        <f t="shared" si="1"/>
        <v>0.78037554128714348</v>
      </c>
      <c r="E56" s="3">
        <v>1409.692</v>
      </c>
      <c r="F56">
        <f t="shared" si="2"/>
        <v>0.98537068867296085</v>
      </c>
      <c r="G56" s="3">
        <v>702.41899999999998</v>
      </c>
      <c r="H56">
        <f t="shared" si="3"/>
        <v>0.80133224727458574</v>
      </c>
      <c r="I56" s="3">
        <v>2148.0990000000002</v>
      </c>
      <c r="J56">
        <f t="shared" si="4"/>
        <v>0.94940035401984901</v>
      </c>
      <c r="K56" s="3">
        <v>2268.143</v>
      </c>
      <c r="L56">
        <f t="shared" si="5"/>
        <v>0.98074437610126797</v>
      </c>
      <c r="M56" s="3">
        <v>562.74099999999999</v>
      </c>
      <c r="N56">
        <f t="shared" si="6"/>
        <v>0.98795474734990396</v>
      </c>
      <c r="O56" s="2">
        <v>325.98</v>
      </c>
      <c r="P56">
        <f t="shared" si="7"/>
        <v>0.95494492617764237</v>
      </c>
      <c r="Q56" s="2">
        <v>2183.92</v>
      </c>
      <c r="R56">
        <f t="shared" si="8"/>
        <v>0.84288366312750618</v>
      </c>
      <c r="S56" s="2">
        <v>486.1</v>
      </c>
      <c r="T56">
        <f t="shared" si="9"/>
        <v>0.49546932493451162</v>
      </c>
      <c r="U56" s="2">
        <v>286.95</v>
      </c>
      <c r="V56">
        <f t="shared" si="10"/>
        <v>0.55773678788703374</v>
      </c>
      <c r="W56" s="2">
        <v>168.88</v>
      </c>
      <c r="X56">
        <f t="shared" si="11"/>
        <v>0.7627133953572397</v>
      </c>
      <c r="Y56" s="2">
        <v>1244.02</v>
      </c>
      <c r="Z56">
        <f t="shared" si="12"/>
        <v>0.90226141951580385</v>
      </c>
    </row>
    <row r="57" spans="1:26" x14ac:dyDescent="0.2">
      <c r="A57" s="3">
        <v>2036.338</v>
      </c>
      <c r="B57">
        <f t="shared" si="0"/>
        <v>0.86950644058127702</v>
      </c>
      <c r="C57" s="3">
        <v>393.24700000000001</v>
      </c>
      <c r="D57">
        <f t="shared" si="1"/>
        <v>0.73399843213379123</v>
      </c>
      <c r="E57" s="3">
        <v>1421.306</v>
      </c>
      <c r="F57">
        <f t="shared" si="2"/>
        <v>0.99348884155901529</v>
      </c>
      <c r="G57" s="3">
        <v>638.44399999999996</v>
      </c>
      <c r="H57">
        <f t="shared" si="3"/>
        <v>0.72834841494745395</v>
      </c>
      <c r="I57" s="3">
        <v>2080.6619999999998</v>
      </c>
      <c r="J57">
        <f t="shared" si="4"/>
        <v>0.91959506493678678</v>
      </c>
      <c r="K57" s="3">
        <v>2198.7849999999999</v>
      </c>
      <c r="L57">
        <f t="shared" si="5"/>
        <v>0.95075399699482188</v>
      </c>
      <c r="M57" s="3">
        <v>556.61699999999996</v>
      </c>
      <c r="N57">
        <f t="shared" si="6"/>
        <v>0.97720338060610745</v>
      </c>
      <c r="O57" s="2">
        <v>316.7</v>
      </c>
      <c r="P57">
        <f t="shared" si="7"/>
        <v>0.92775955003515342</v>
      </c>
      <c r="Q57" s="2">
        <v>2024.86</v>
      </c>
      <c r="R57">
        <f t="shared" si="8"/>
        <v>0.78149447512745984</v>
      </c>
      <c r="S57" s="2">
        <v>402.99</v>
      </c>
      <c r="T57">
        <f t="shared" si="9"/>
        <v>0.41075742286640371</v>
      </c>
      <c r="U57" s="2">
        <v>233.66</v>
      </c>
      <c r="V57">
        <f t="shared" si="10"/>
        <v>0.45415848704542361</v>
      </c>
      <c r="W57" s="2">
        <v>157.6</v>
      </c>
      <c r="X57">
        <f t="shared" si="11"/>
        <v>0.71176948785114269</v>
      </c>
      <c r="Y57" s="2">
        <v>1171.9000000000001</v>
      </c>
      <c r="Z57">
        <f t="shared" si="12"/>
        <v>0.84995430743120737</v>
      </c>
    </row>
    <row r="58" spans="1:26" x14ac:dyDescent="0.2">
      <c r="A58" s="3">
        <v>1891.4970000000001</v>
      </c>
      <c r="B58">
        <f t="shared" si="0"/>
        <v>0.80766003671304265</v>
      </c>
      <c r="C58" s="3">
        <v>370.87700000000001</v>
      </c>
      <c r="D58">
        <f t="shared" si="1"/>
        <v>0.69224466178886068</v>
      </c>
      <c r="E58" s="3">
        <v>1430.6210000000001</v>
      </c>
      <c r="F58">
        <f t="shared" si="2"/>
        <v>1</v>
      </c>
      <c r="G58" s="3">
        <v>568.46600000000001</v>
      </c>
      <c r="H58">
        <f t="shared" si="3"/>
        <v>0.64851625209340114</v>
      </c>
      <c r="I58" s="3">
        <v>1993.329</v>
      </c>
      <c r="J58">
        <f t="shared" si="4"/>
        <v>0.88099629406188051</v>
      </c>
      <c r="K58" s="3">
        <v>2106.2959999999998</v>
      </c>
      <c r="L58">
        <f t="shared" si="5"/>
        <v>0.91076178018960707</v>
      </c>
      <c r="M58" s="3">
        <v>546.95000000000005</v>
      </c>
      <c r="N58">
        <f t="shared" si="6"/>
        <v>0.9602318812082824</v>
      </c>
      <c r="O58" s="2">
        <v>303.45</v>
      </c>
      <c r="P58">
        <f t="shared" si="7"/>
        <v>0.8889442231075696</v>
      </c>
      <c r="Q58" s="2">
        <v>1857.99</v>
      </c>
      <c r="R58">
        <f t="shared" si="8"/>
        <v>0.71709101856032975</v>
      </c>
      <c r="S58" s="2">
        <v>330.28</v>
      </c>
      <c r="T58">
        <f t="shared" si="9"/>
        <v>0.33664597539471403</v>
      </c>
      <c r="U58" s="2">
        <v>186.27</v>
      </c>
      <c r="V58">
        <f t="shared" si="10"/>
        <v>0.36204785321386229</v>
      </c>
      <c r="W58" s="2">
        <v>139.37</v>
      </c>
      <c r="X58">
        <f t="shared" si="11"/>
        <v>0.62943726853942739</v>
      </c>
      <c r="Y58" s="2">
        <v>1113.7</v>
      </c>
      <c r="Z58">
        <f t="shared" si="12"/>
        <v>0.8077430772131885</v>
      </c>
    </row>
    <row r="59" spans="1:26" x14ac:dyDescent="0.2">
      <c r="A59" s="3">
        <v>1712.3150000000001</v>
      </c>
      <c r="B59">
        <f t="shared" si="0"/>
        <v>0.73115019255346081</v>
      </c>
      <c r="C59" s="3">
        <v>349.92899999999997</v>
      </c>
      <c r="D59">
        <f t="shared" si="1"/>
        <v>0.65314506495445723</v>
      </c>
      <c r="E59" s="3">
        <v>1428.9110000000001</v>
      </c>
      <c r="F59">
        <f t="shared" si="2"/>
        <v>0.99880471487556799</v>
      </c>
      <c r="G59" s="3">
        <v>498.839</v>
      </c>
      <c r="H59">
        <f t="shared" si="3"/>
        <v>0.56908451636161195</v>
      </c>
      <c r="I59" s="3">
        <v>1878.84</v>
      </c>
      <c r="J59">
        <f t="shared" si="4"/>
        <v>0.83039532216469214</v>
      </c>
      <c r="K59" s="3">
        <v>1983.0129999999999</v>
      </c>
      <c r="L59">
        <f t="shared" si="5"/>
        <v>0.85745424670565462</v>
      </c>
      <c r="M59" s="3">
        <v>530.71500000000003</v>
      </c>
      <c r="N59">
        <f t="shared" si="6"/>
        <v>0.9317295234216173</v>
      </c>
      <c r="O59" s="2">
        <v>269.95999999999998</v>
      </c>
      <c r="P59">
        <f t="shared" si="7"/>
        <v>0.79083665338645415</v>
      </c>
      <c r="Q59" s="2">
        <v>1659.22</v>
      </c>
      <c r="R59">
        <f t="shared" si="8"/>
        <v>0.64037576080370195</v>
      </c>
      <c r="S59" s="2">
        <v>275.12</v>
      </c>
      <c r="T59">
        <f t="shared" si="9"/>
        <v>0.2804227950544802</v>
      </c>
      <c r="U59" s="2">
        <v>138.13</v>
      </c>
      <c r="V59">
        <f t="shared" si="10"/>
        <v>0.2684794651013625</v>
      </c>
      <c r="W59" s="2">
        <v>118.51</v>
      </c>
      <c r="X59">
        <f t="shared" si="11"/>
        <v>0.53522717008400333</v>
      </c>
      <c r="Y59" s="2">
        <v>1068.6600000000001</v>
      </c>
      <c r="Z59">
        <f t="shared" si="12"/>
        <v>0.77507651692075608</v>
      </c>
    </row>
    <row r="60" spans="1:26" x14ac:dyDescent="0.2">
      <c r="A60" s="3">
        <v>1530.5139999999999</v>
      </c>
      <c r="B60">
        <f t="shared" si="0"/>
        <v>0.65352204810783499</v>
      </c>
      <c r="C60" s="3">
        <v>332.291</v>
      </c>
      <c r="D60">
        <f t="shared" si="1"/>
        <v>0.620223607585486</v>
      </c>
      <c r="E60" s="3">
        <v>1387.049</v>
      </c>
      <c r="F60">
        <f t="shared" si="2"/>
        <v>0.96954329623289459</v>
      </c>
      <c r="G60" s="3">
        <v>434.00400000000002</v>
      </c>
      <c r="H60">
        <f t="shared" si="3"/>
        <v>0.49511958054403332</v>
      </c>
      <c r="I60" s="3">
        <v>1744.874</v>
      </c>
      <c r="J60">
        <f t="shared" si="4"/>
        <v>0.77118605488854564</v>
      </c>
      <c r="K60" s="3">
        <v>1836.09</v>
      </c>
      <c r="L60">
        <f t="shared" si="5"/>
        <v>0.79392478407039457</v>
      </c>
      <c r="M60" s="3">
        <v>507.80900000000003</v>
      </c>
      <c r="N60">
        <f t="shared" si="6"/>
        <v>0.8915154792293567</v>
      </c>
      <c r="O60" s="2">
        <v>235.66</v>
      </c>
      <c r="P60">
        <f t="shared" si="7"/>
        <v>0.69035622217014292</v>
      </c>
      <c r="Q60" s="2">
        <v>1443.38</v>
      </c>
      <c r="R60">
        <f t="shared" si="8"/>
        <v>0.55707233858611116</v>
      </c>
      <c r="S60" s="2">
        <v>217.16</v>
      </c>
      <c r="T60">
        <f t="shared" si="9"/>
        <v>0.22134564616905686</v>
      </c>
      <c r="U60" s="2">
        <v>106.87</v>
      </c>
      <c r="V60">
        <f t="shared" si="10"/>
        <v>0.20772026667184978</v>
      </c>
      <c r="W60" s="2">
        <v>96.45</v>
      </c>
      <c r="X60">
        <f t="shared" si="11"/>
        <v>0.435597507000271</v>
      </c>
      <c r="Y60" s="2">
        <v>984.67</v>
      </c>
      <c r="Z60">
        <f t="shared" si="12"/>
        <v>0.71416034465251887</v>
      </c>
    </row>
    <row r="61" spans="1:26" x14ac:dyDescent="0.2">
      <c r="A61" s="3">
        <v>1349.3209999999999</v>
      </c>
      <c r="B61">
        <f t="shared" si="0"/>
        <v>0.5761535167106685</v>
      </c>
      <c r="C61" s="3">
        <v>315.51</v>
      </c>
      <c r="D61">
        <f t="shared" si="1"/>
        <v>0.58890174705091836</v>
      </c>
      <c r="E61" s="3">
        <v>1303.48</v>
      </c>
      <c r="F61">
        <f t="shared" si="2"/>
        <v>0.91112880350561043</v>
      </c>
      <c r="G61" s="3">
        <v>374.29500000000002</v>
      </c>
      <c r="H61">
        <f t="shared" si="3"/>
        <v>0.42700247785672241</v>
      </c>
      <c r="I61" s="3">
        <v>1591.1320000000001</v>
      </c>
      <c r="J61">
        <f t="shared" si="4"/>
        <v>0.70323634250204969</v>
      </c>
      <c r="K61" s="3">
        <v>1662.3440000000001</v>
      </c>
      <c r="L61">
        <f t="shared" si="5"/>
        <v>0.7187970640059671</v>
      </c>
      <c r="M61" s="3">
        <v>478.173</v>
      </c>
      <c r="N61">
        <f t="shared" si="6"/>
        <v>0.8394861675345241</v>
      </c>
      <c r="O61" s="2">
        <v>199.2</v>
      </c>
      <c r="P61">
        <f t="shared" si="7"/>
        <v>0.58354816029997647</v>
      </c>
      <c r="Q61" s="2">
        <v>1205.6199999999999</v>
      </c>
      <c r="R61">
        <f t="shared" si="8"/>
        <v>0.46530889498689693</v>
      </c>
      <c r="S61" s="2">
        <v>162.30000000000001</v>
      </c>
      <c r="T61">
        <f t="shared" si="9"/>
        <v>0.16542824817295049</v>
      </c>
      <c r="U61" s="2">
        <v>84.22</v>
      </c>
      <c r="V61">
        <f t="shared" si="10"/>
        <v>0.16369608738750996</v>
      </c>
      <c r="W61" s="2">
        <v>72.099999999999994</v>
      </c>
      <c r="X61">
        <f t="shared" si="11"/>
        <v>0.32562550808418389</v>
      </c>
      <c r="Y61" s="2">
        <v>864.44</v>
      </c>
      <c r="Z61">
        <f t="shared" si="12"/>
        <v>0.62696006614543298</v>
      </c>
    </row>
    <row r="62" spans="1:26" x14ac:dyDescent="0.2">
      <c r="A62" s="3">
        <v>1148.818</v>
      </c>
      <c r="B62">
        <f t="shared" si="0"/>
        <v>0.49053970905404776</v>
      </c>
      <c r="C62" s="3">
        <v>295.70100000000002</v>
      </c>
      <c r="D62">
        <f t="shared" si="1"/>
        <v>0.55192810213528454</v>
      </c>
      <c r="E62" s="3">
        <v>1202.384</v>
      </c>
      <c r="F62">
        <f t="shared" si="2"/>
        <v>0.84046298775147288</v>
      </c>
      <c r="G62" s="3">
        <v>317.387</v>
      </c>
      <c r="H62">
        <f t="shared" si="3"/>
        <v>0.36208080642143642</v>
      </c>
      <c r="I62" s="3">
        <v>1417.3320000000001</v>
      </c>
      <c r="J62">
        <f t="shared" si="4"/>
        <v>0.62642154880369139</v>
      </c>
      <c r="K62" s="3">
        <v>1464.78</v>
      </c>
      <c r="L62">
        <f t="shared" si="5"/>
        <v>0.63337044764180006</v>
      </c>
      <c r="M62" s="3">
        <v>443.709</v>
      </c>
      <c r="N62">
        <f t="shared" si="6"/>
        <v>0.77898076200575139</v>
      </c>
      <c r="O62" s="2">
        <v>165.98</v>
      </c>
      <c r="P62">
        <f t="shared" si="7"/>
        <v>0.48623154441059285</v>
      </c>
      <c r="Q62" s="2">
        <v>983.07</v>
      </c>
      <c r="R62">
        <f t="shared" si="8"/>
        <v>0.37941574907082565</v>
      </c>
      <c r="S62" s="2">
        <v>115.74</v>
      </c>
      <c r="T62">
        <f t="shared" si="9"/>
        <v>0.11797082836437023</v>
      </c>
      <c r="U62" s="2">
        <v>65.569999999999993</v>
      </c>
      <c r="V62">
        <f t="shared" si="10"/>
        <v>0.12744659760150828</v>
      </c>
      <c r="W62" s="2">
        <v>52.74</v>
      </c>
      <c r="X62">
        <f t="shared" si="11"/>
        <v>0.23818986541414508</v>
      </c>
      <c r="Y62" s="2">
        <v>736.51</v>
      </c>
      <c r="Z62">
        <f t="shared" si="12"/>
        <v>0.5341751403414613</v>
      </c>
    </row>
    <row r="63" spans="1:26" x14ac:dyDescent="0.2">
      <c r="A63" s="3">
        <v>944.83</v>
      </c>
      <c r="B63">
        <f t="shared" si="0"/>
        <v>0.40343782331538675</v>
      </c>
      <c r="C63" s="3">
        <v>272.87099999999998</v>
      </c>
      <c r="D63">
        <f t="shared" si="1"/>
        <v>0.50931573839032396</v>
      </c>
      <c r="E63" s="3">
        <v>1083.9749999999999</v>
      </c>
      <c r="F63">
        <f t="shared" si="2"/>
        <v>0.75769543436032316</v>
      </c>
      <c r="G63" s="3">
        <v>263.339</v>
      </c>
      <c r="H63">
        <f t="shared" si="3"/>
        <v>0.30042187450089214</v>
      </c>
      <c r="I63" s="3">
        <v>1231.704</v>
      </c>
      <c r="J63">
        <f t="shared" si="4"/>
        <v>0.54437910619932506</v>
      </c>
      <c r="K63" s="3">
        <v>1259.2090000000001</v>
      </c>
      <c r="L63">
        <f t="shared" si="5"/>
        <v>0.54448160679732338</v>
      </c>
      <c r="M63" s="3">
        <v>405.86500000000001</v>
      </c>
      <c r="N63">
        <f t="shared" si="6"/>
        <v>0.71254138854849536</v>
      </c>
      <c r="O63" s="2">
        <v>132.99</v>
      </c>
      <c r="P63">
        <f t="shared" si="7"/>
        <v>0.3895887040074994</v>
      </c>
      <c r="Q63" s="2">
        <v>743.71</v>
      </c>
      <c r="R63">
        <f t="shared" si="8"/>
        <v>0.28703478566273383</v>
      </c>
      <c r="S63" s="2">
        <v>78.08</v>
      </c>
      <c r="T63">
        <f t="shared" si="9"/>
        <v>7.9584951431571002E-2</v>
      </c>
      <c r="U63" s="2">
        <v>47.26</v>
      </c>
      <c r="V63">
        <f t="shared" si="10"/>
        <v>9.1857956422865358E-2</v>
      </c>
      <c r="W63" s="2">
        <v>32.96</v>
      </c>
      <c r="X63">
        <f t="shared" si="11"/>
        <v>0.14885737512419836</v>
      </c>
      <c r="Y63" s="2">
        <v>621.58000000000004</v>
      </c>
      <c r="Z63">
        <f t="shared" si="12"/>
        <v>0.45081883984392002</v>
      </c>
    </row>
    <row r="64" spans="1:26" x14ac:dyDescent="0.2">
      <c r="A64" s="3">
        <v>753.798</v>
      </c>
      <c r="B64">
        <f t="shared" si="0"/>
        <v>0.32186808668172251</v>
      </c>
      <c r="C64" s="3">
        <v>238.01</v>
      </c>
      <c r="D64">
        <f t="shared" si="1"/>
        <v>0.4442474242197999</v>
      </c>
      <c r="E64" s="3">
        <v>932.447</v>
      </c>
      <c r="F64">
        <f t="shared" si="2"/>
        <v>0.65177779439837658</v>
      </c>
      <c r="G64" s="3">
        <v>214.18899999999999</v>
      </c>
      <c r="H64">
        <f t="shared" si="3"/>
        <v>0.24435066920384593</v>
      </c>
      <c r="I64" s="3">
        <v>1033.5940000000001</v>
      </c>
      <c r="J64">
        <f t="shared" si="4"/>
        <v>0.45681996477480408</v>
      </c>
      <c r="K64" s="3">
        <v>1050.0429999999999</v>
      </c>
      <c r="L64">
        <f t="shared" si="5"/>
        <v>0.45403828899434628</v>
      </c>
      <c r="M64" s="3">
        <v>352.488</v>
      </c>
      <c r="N64">
        <f t="shared" si="6"/>
        <v>0.61883209679741291</v>
      </c>
      <c r="O64" s="2">
        <v>94.89</v>
      </c>
      <c r="P64">
        <f t="shared" si="7"/>
        <v>0.27797632997422078</v>
      </c>
      <c r="Q64" s="2">
        <v>533.02</v>
      </c>
      <c r="R64">
        <f t="shared" si="8"/>
        <v>0.20571900532996781</v>
      </c>
      <c r="S64" s="2">
        <v>45.16</v>
      </c>
      <c r="T64">
        <f t="shared" si="9"/>
        <v>4.603043553598548E-2</v>
      </c>
      <c r="U64" s="2">
        <v>31.26</v>
      </c>
      <c r="V64">
        <f t="shared" si="10"/>
        <v>6.0759198429512724E-2</v>
      </c>
      <c r="W64" s="2">
        <v>17.920000000000002</v>
      </c>
      <c r="X64">
        <f t="shared" si="11"/>
        <v>8.0932165116069016E-2</v>
      </c>
      <c r="Y64" s="2">
        <v>466.18</v>
      </c>
      <c r="Z64">
        <f t="shared" si="12"/>
        <v>0.3381105034885914</v>
      </c>
    </row>
    <row r="65" spans="1:26" x14ac:dyDescent="0.2">
      <c r="A65" s="3">
        <v>575.16700000000003</v>
      </c>
      <c r="B65">
        <f t="shared" si="0"/>
        <v>0.24559351684730696</v>
      </c>
      <c r="C65" s="3">
        <v>190.227</v>
      </c>
      <c r="D65">
        <f t="shared" si="1"/>
        <v>0.3550601015380021</v>
      </c>
      <c r="E65" s="3">
        <v>747.78499999999997</v>
      </c>
      <c r="F65">
        <f t="shared" si="2"/>
        <v>0.52269958290840124</v>
      </c>
      <c r="G65" s="3">
        <v>168.483</v>
      </c>
      <c r="H65">
        <f t="shared" si="3"/>
        <v>0.19220844114063548</v>
      </c>
      <c r="I65" s="3">
        <v>828.16800000000001</v>
      </c>
      <c r="J65">
        <f t="shared" si="4"/>
        <v>0.36602735366848094</v>
      </c>
      <c r="K65" s="3">
        <v>840.45399999999995</v>
      </c>
      <c r="L65">
        <f t="shared" si="5"/>
        <v>0.36341206611391563</v>
      </c>
      <c r="M65" s="3">
        <v>287.83100000000002</v>
      </c>
      <c r="N65">
        <f t="shared" si="6"/>
        <v>0.50531950379387713</v>
      </c>
      <c r="O65" s="2">
        <v>54.48</v>
      </c>
      <c r="P65">
        <f t="shared" si="7"/>
        <v>0.15959690649168032</v>
      </c>
      <c r="Q65" s="2">
        <v>322.51</v>
      </c>
      <c r="R65">
        <f t="shared" si="8"/>
        <v>0.12447269597570058</v>
      </c>
      <c r="S65" s="2">
        <v>20.5</v>
      </c>
      <c r="T65">
        <f t="shared" si="9"/>
        <v>2.0895126848709089E-2</v>
      </c>
      <c r="U65" s="2">
        <v>17.809999999999999</v>
      </c>
      <c r="V65">
        <f t="shared" si="10"/>
        <v>3.4616804991350655E-2</v>
      </c>
      <c r="W65" s="2">
        <v>7.74</v>
      </c>
      <c r="X65">
        <f t="shared" si="11"/>
        <v>3.4956191852587845E-2</v>
      </c>
      <c r="Y65" s="2">
        <v>279.02</v>
      </c>
      <c r="Z65">
        <f t="shared" si="12"/>
        <v>0.20236731023078372</v>
      </c>
    </row>
    <row r="66" spans="1:26" x14ac:dyDescent="0.2">
      <c r="A66" s="3">
        <v>422.55500000000001</v>
      </c>
      <c r="B66">
        <f t="shared" si="0"/>
        <v>0.18042893370345273</v>
      </c>
      <c r="C66" s="3">
        <v>142.74</v>
      </c>
      <c r="D66">
        <f t="shared" si="1"/>
        <v>0.26642526504404962</v>
      </c>
      <c r="E66" s="3">
        <v>562.65700000000004</v>
      </c>
      <c r="F66">
        <f t="shared" si="2"/>
        <v>0.39329563874708956</v>
      </c>
      <c r="G66" s="3">
        <v>124.85</v>
      </c>
      <c r="H66">
        <f t="shared" si="3"/>
        <v>0.14243112881660666</v>
      </c>
      <c r="I66" s="3">
        <v>628.61300000000006</v>
      </c>
      <c r="J66">
        <f t="shared" si="4"/>
        <v>0.27782956220429289</v>
      </c>
      <c r="K66" s="3">
        <v>629.30999999999995</v>
      </c>
      <c r="L66">
        <f t="shared" si="5"/>
        <v>0.27211346168398065</v>
      </c>
      <c r="M66" s="3">
        <v>224.68799999999999</v>
      </c>
      <c r="N66">
        <f t="shared" si="6"/>
        <v>0.39446490707546672</v>
      </c>
      <c r="O66" s="2">
        <v>22.74</v>
      </c>
      <c r="P66">
        <f t="shared" si="7"/>
        <v>6.6615889383641894E-2</v>
      </c>
      <c r="Q66" s="2">
        <v>151.88999999999999</v>
      </c>
      <c r="R66">
        <f t="shared" si="8"/>
        <v>5.8621927356513476E-2</v>
      </c>
      <c r="S66" s="2">
        <v>5.67</v>
      </c>
      <c r="T66">
        <f t="shared" si="9"/>
        <v>5.7792863040088066E-3</v>
      </c>
      <c r="U66" s="2">
        <v>8.24</v>
      </c>
      <c r="V66">
        <f t="shared" si="10"/>
        <v>1.6015860366576609E-2</v>
      </c>
      <c r="W66" s="2">
        <v>2.46</v>
      </c>
      <c r="X66">
        <f t="shared" si="11"/>
        <v>1.1110107488031795E-2</v>
      </c>
      <c r="Y66" s="2">
        <v>107.3</v>
      </c>
      <c r="Z66">
        <f t="shared" si="12"/>
        <v>7.782242272153643E-2</v>
      </c>
    </row>
    <row r="67" spans="1:26" x14ac:dyDescent="0.2">
      <c r="A67" s="3">
        <v>293.66199999999998</v>
      </c>
      <c r="B67">
        <f t="shared" ref="B67:B97" si="13">A67/2341.947</f>
        <v>0.12539224841552774</v>
      </c>
      <c r="C67" s="3">
        <v>99.045000000000002</v>
      </c>
      <c r="D67">
        <f t="shared" ref="D67:D97" si="14">C67/535.76</f>
        <v>0.18486822457816934</v>
      </c>
      <c r="E67" s="3">
        <v>389.61500000000001</v>
      </c>
      <c r="F67">
        <f t="shared" ref="F67:F97" si="15">E67/1430.621</f>
        <v>0.27233977412606131</v>
      </c>
      <c r="G67" s="3">
        <v>85.888999999999996</v>
      </c>
      <c r="H67">
        <f t="shared" ref="H67:H97" si="16">G67/876.564</f>
        <v>9.7983718245330628E-2</v>
      </c>
      <c r="I67" s="3">
        <v>449.2</v>
      </c>
      <c r="J67">
        <f t="shared" ref="J67:J97" si="17">I67/2262.585</f>
        <v>0.19853397772901349</v>
      </c>
      <c r="K67" s="3">
        <v>430.03899999999999</v>
      </c>
      <c r="L67">
        <f t="shared" ref="L67:L97" si="18">K67/2312.675</f>
        <v>0.18594873901434483</v>
      </c>
      <c r="M67" s="3">
        <v>167.96100000000001</v>
      </c>
      <c r="N67">
        <f t="shared" ref="N67:N97" si="19">M67/569.602</f>
        <v>0.29487431575029588</v>
      </c>
      <c r="O67" s="2">
        <v>5.46</v>
      </c>
      <c r="P67">
        <f t="shared" ref="P67:P97" si="20">O67/341.36</f>
        <v>1.5994844152800562E-2</v>
      </c>
      <c r="Q67" s="2">
        <v>40.25</v>
      </c>
      <c r="R67">
        <f t="shared" ref="R67:R97" si="21">Q67/2591.01</f>
        <v>1.5534482692077606E-2</v>
      </c>
      <c r="S67" s="2">
        <v>0.77</v>
      </c>
      <c r="T67">
        <f t="shared" ref="T67:T97" si="22">S67/981.09</f>
        <v>7.8484134992712188E-4</v>
      </c>
      <c r="U67" s="2">
        <v>2.2599999999999998</v>
      </c>
      <c r="V67">
        <f t="shared" ref="V67:V97" si="23">U67/514.49</f>
        <v>4.3926995665610601E-3</v>
      </c>
      <c r="W67" s="2">
        <v>0.56999999999999995</v>
      </c>
      <c r="X67">
        <f t="shared" ref="X67:X97" si="24">W67/221.42</f>
        <v>2.5742931984463913E-3</v>
      </c>
      <c r="Y67" s="2">
        <v>27.27</v>
      </c>
      <c r="Z67">
        <f t="shared" ref="Z67:Z97" si="25">Y67/1378.78</f>
        <v>1.9778354777411914E-2</v>
      </c>
    </row>
    <row r="68" spans="1:26" x14ac:dyDescent="0.2">
      <c r="A68" s="3">
        <v>174.40799999999999</v>
      </c>
      <c r="B68">
        <f t="shared" si="13"/>
        <v>7.4471369335002022E-2</v>
      </c>
      <c r="C68" s="3">
        <v>60.491999999999997</v>
      </c>
      <c r="D68">
        <f t="shared" si="14"/>
        <v>0.11290876511870987</v>
      </c>
      <c r="E68" s="3">
        <v>227.75</v>
      </c>
      <c r="F68">
        <f t="shared" si="15"/>
        <v>0.159196600637066</v>
      </c>
      <c r="G68" s="3">
        <v>52.750999999999998</v>
      </c>
      <c r="H68">
        <f t="shared" si="16"/>
        <v>6.0179290958789093E-2</v>
      </c>
      <c r="I68" s="3">
        <v>285.279</v>
      </c>
      <c r="J68">
        <f t="shared" si="17"/>
        <v>0.12608542883471779</v>
      </c>
      <c r="K68" s="3">
        <v>254.804</v>
      </c>
      <c r="L68">
        <f t="shared" si="18"/>
        <v>0.11017717578129221</v>
      </c>
      <c r="M68" s="3">
        <v>114.142</v>
      </c>
      <c r="N68">
        <f t="shared" si="19"/>
        <v>0.20038904357779644</v>
      </c>
      <c r="O68" s="2">
        <v>0.79</v>
      </c>
      <c r="P68">
        <f t="shared" si="20"/>
        <v>2.3142723224748069E-3</v>
      </c>
      <c r="Q68" s="2">
        <v>6.45</v>
      </c>
      <c r="R68">
        <f t="shared" si="21"/>
        <v>2.4893767295379021E-3</v>
      </c>
      <c r="S68" s="2">
        <v>0.08</v>
      </c>
      <c r="T68">
        <f t="shared" si="22"/>
        <v>8.1541958433986687E-5</v>
      </c>
      <c r="U68" s="2">
        <v>0.1</v>
      </c>
      <c r="V68">
        <f t="shared" si="23"/>
        <v>1.94367237458454E-4</v>
      </c>
      <c r="W68" s="2">
        <v>0.06</v>
      </c>
      <c r="X68">
        <f t="shared" si="24"/>
        <v>2.7097823141540963E-4</v>
      </c>
      <c r="Y68" s="2">
        <v>5.12</v>
      </c>
      <c r="Z68">
        <f t="shared" si="25"/>
        <v>3.7134278129940966E-3</v>
      </c>
    </row>
    <row r="69" spans="1:26" x14ac:dyDescent="0.2">
      <c r="A69" s="3">
        <v>68.567999999999998</v>
      </c>
      <c r="B69">
        <f t="shared" si="13"/>
        <v>2.9278203136108544E-2</v>
      </c>
      <c r="C69" s="3">
        <v>27.536999999999999</v>
      </c>
      <c r="D69">
        <f t="shared" si="14"/>
        <v>5.1398014036135579E-2</v>
      </c>
      <c r="E69" s="3">
        <v>93.563000000000002</v>
      </c>
      <c r="F69">
        <f t="shared" si="15"/>
        <v>6.5400270232297719E-2</v>
      </c>
      <c r="G69" s="3">
        <v>25.556999999999999</v>
      </c>
      <c r="H69">
        <f t="shared" si="16"/>
        <v>2.9155885936451874E-2</v>
      </c>
      <c r="I69" s="3">
        <v>139.09899999999999</v>
      </c>
      <c r="J69">
        <f t="shared" si="17"/>
        <v>6.1477911327088255E-2</v>
      </c>
      <c r="K69" s="3">
        <v>118.886</v>
      </c>
      <c r="L69">
        <f t="shared" si="18"/>
        <v>5.1406271957797782E-2</v>
      </c>
      <c r="M69" s="3">
        <v>63.859000000000002</v>
      </c>
      <c r="N69">
        <f t="shared" si="19"/>
        <v>0.11211161477663352</v>
      </c>
      <c r="O69" s="2">
        <v>0.04</v>
      </c>
      <c r="P69">
        <f t="shared" si="20"/>
        <v>1.1717834544176236E-4</v>
      </c>
      <c r="Q69" s="2">
        <v>0</v>
      </c>
      <c r="R69">
        <f t="shared" si="21"/>
        <v>0</v>
      </c>
      <c r="S69" s="2">
        <v>0</v>
      </c>
      <c r="T69">
        <f t="shared" si="22"/>
        <v>0</v>
      </c>
      <c r="U69" s="2">
        <v>0</v>
      </c>
      <c r="V69">
        <f t="shared" si="23"/>
        <v>0</v>
      </c>
      <c r="W69" s="2">
        <v>0</v>
      </c>
      <c r="X69">
        <f t="shared" si="24"/>
        <v>0</v>
      </c>
      <c r="Y69" s="2">
        <v>0.26</v>
      </c>
      <c r="Z69">
        <f t="shared" si="25"/>
        <v>1.8857250612860647E-4</v>
      </c>
    </row>
    <row r="70" spans="1:26" x14ac:dyDescent="0.2">
      <c r="A70" s="3">
        <v>10.87</v>
      </c>
      <c r="B70">
        <f t="shared" si="13"/>
        <v>4.6414372315001142E-3</v>
      </c>
      <c r="C70" s="3">
        <v>6.35</v>
      </c>
      <c r="D70">
        <f t="shared" si="14"/>
        <v>1.1852321935194863E-2</v>
      </c>
      <c r="E70" s="3">
        <v>18.940000000000001</v>
      </c>
      <c r="F70">
        <f t="shared" si="15"/>
        <v>1.3239005998094534E-2</v>
      </c>
      <c r="G70" s="3">
        <v>6.7480000000000002</v>
      </c>
      <c r="H70">
        <f t="shared" si="16"/>
        <v>7.6982399459708598E-3</v>
      </c>
      <c r="I70" s="3">
        <v>40.854999999999997</v>
      </c>
      <c r="J70">
        <f t="shared" si="17"/>
        <v>1.8056780187263682E-2</v>
      </c>
      <c r="K70" s="3">
        <v>32.603000000000002</v>
      </c>
      <c r="L70">
        <f t="shared" si="18"/>
        <v>1.4097527754656404E-2</v>
      </c>
      <c r="M70" s="3">
        <v>22.419</v>
      </c>
      <c r="N70">
        <f t="shared" si="19"/>
        <v>3.9359061239251272E-2</v>
      </c>
      <c r="O70" s="2">
        <v>0</v>
      </c>
      <c r="P70">
        <f t="shared" si="20"/>
        <v>0</v>
      </c>
      <c r="Q70" s="2">
        <v>0</v>
      </c>
      <c r="R70">
        <f t="shared" si="21"/>
        <v>0</v>
      </c>
      <c r="S70" s="2">
        <v>0</v>
      </c>
      <c r="T70">
        <f t="shared" si="22"/>
        <v>0</v>
      </c>
      <c r="U70" s="2">
        <v>0</v>
      </c>
      <c r="V70">
        <f t="shared" si="23"/>
        <v>0</v>
      </c>
      <c r="W70" s="2">
        <v>0</v>
      </c>
      <c r="X70">
        <f t="shared" si="24"/>
        <v>0</v>
      </c>
      <c r="Y70" s="2">
        <v>0</v>
      </c>
      <c r="Z70">
        <f t="shared" si="25"/>
        <v>0</v>
      </c>
    </row>
    <row r="71" spans="1:26" x14ac:dyDescent="0.2">
      <c r="A71" s="3">
        <v>0</v>
      </c>
      <c r="B71">
        <f t="shared" si="13"/>
        <v>0</v>
      </c>
      <c r="C71" s="3">
        <v>0</v>
      </c>
      <c r="D71">
        <f t="shared" si="14"/>
        <v>0</v>
      </c>
      <c r="E71" s="3">
        <v>3.5000000000000003E-2</v>
      </c>
      <c r="F71">
        <f t="shared" si="15"/>
        <v>2.4464900207672055E-5</v>
      </c>
      <c r="G71" s="3">
        <v>5.6000000000000001E-2</v>
      </c>
      <c r="H71">
        <f t="shared" si="16"/>
        <v>6.388580868025609E-5</v>
      </c>
      <c r="I71" s="3">
        <v>0.23699999999999999</v>
      </c>
      <c r="J71">
        <f t="shared" si="17"/>
        <v>1.0474744595230676E-4</v>
      </c>
      <c r="K71" s="3">
        <v>1.8340000000000001</v>
      </c>
      <c r="L71">
        <f t="shared" si="18"/>
        <v>7.9302106867588397E-4</v>
      </c>
      <c r="M71" s="3">
        <v>2.4489999999999998</v>
      </c>
      <c r="N71">
        <f t="shared" si="19"/>
        <v>4.2994933304307216E-3</v>
      </c>
      <c r="O71" s="2">
        <v>0</v>
      </c>
      <c r="P71">
        <f t="shared" si="20"/>
        <v>0</v>
      </c>
      <c r="Q71" s="2">
        <v>0</v>
      </c>
      <c r="R71">
        <f t="shared" si="21"/>
        <v>0</v>
      </c>
      <c r="S71" s="2">
        <v>0</v>
      </c>
      <c r="T71">
        <f t="shared" si="22"/>
        <v>0</v>
      </c>
      <c r="U71" s="2">
        <v>0</v>
      </c>
      <c r="V71">
        <f t="shared" si="23"/>
        <v>0</v>
      </c>
      <c r="W71" s="2">
        <v>0</v>
      </c>
      <c r="X71">
        <f t="shared" si="24"/>
        <v>0</v>
      </c>
      <c r="Y71" s="2">
        <v>0</v>
      </c>
      <c r="Z71">
        <f t="shared" si="25"/>
        <v>0</v>
      </c>
    </row>
    <row r="72" spans="1:26" x14ac:dyDescent="0.2">
      <c r="A72" s="3">
        <v>0</v>
      </c>
      <c r="B72">
        <f t="shared" si="13"/>
        <v>0</v>
      </c>
      <c r="C72" s="3">
        <v>0</v>
      </c>
      <c r="D72">
        <f t="shared" si="14"/>
        <v>0</v>
      </c>
      <c r="E72" s="3">
        <v>0</v>
      </c>
      <c r="F72">
        <f t="shared" si="15"/>
        <v>0</v>
      </c>
      <c r="G72" s="3">
        <v>0</v>
      </c>
      <c r="H72">
        <f t="shared" si="16"/>
        <v>0</v>
      </c>
      <c r="I72" s="3">
        <v>0</v>
      </c>
      <c r="J72">
        <f t="shared" si="17"/>
        <v>0</v>
      </c>
      <c r="K72" s="3">
        <v>0</v>
      </c>
      <c r="L72">
        <f t="shared" si="18"/>
        <v>0</v>
      </c>
      <c r="M72" s="3">
        <v>0</v>
      </c>
      <c r="N72">
        <f t="shared" si="19"/>
        <v>0</v>
      </c>
      <c r="O72" s="2">
        <v>0</v>
      </c>
      <c r="P72">
        <f t="shared" si="20"/>
        <v>0</v>
      </c>
      <c r="Q72" s="2">
        <v>0</v>
      </c>
      <c r="R72">
        <f t="shared" si="21"/>
        <v>0</v>
      </c>
      <c r="S72" s="2">
        <v>0</v>
      </c>
      <c r="T72">
        <f t="shared" si="22"/>
        <v>0</v>
      </c>
      <c r="U72" s="2">
        <v>0</v>
      </c>
      <c r="V72">
        <f t="shared" si="23"/>
        <v>0</v>
      </c>
      <c r="W72" s="2">
        <v>0</v>
      </c>
      <c r="X72">
        <f t="shared" si="24"/>
        <v>0</v>
      </c>
      <c r="Y72" s="2">
        <v>0</v>
      </c>
      <c r="Z72">
        <f t="shared" si="25"/>
        <v>0</v>
      </c>
    </row>
    <row r="73" spans="1:26" x14ac:dyDescent="0.2">
      <c r="A73" s="3">
        <v>0</v>
      </c>
      <c r="B73">
        <f t="shared" si="13"/>
        <v>0</v>
      </c>
      <c r="C73" s="3">
        <v>0</v>
      </c>
      <c r="D73">
        <f t="shared" si="14"/>
        <v>0</v>
      </c>
      <c r="E73" s="3">
        <v>0</v>
      </c>
      <c r="F73">
        <f t="shared" si="15"/>
        <v>0</v>
      </c>
      <c r="G73" s="3">
        <v>0</v>
      </c>
      <c r="H73">
        <f t="shared" si="16"/>
        <v>0</v>
      </c>
      <c r="I73" s="3">
        <v>0</v>
      </c>
      <c r="J73">
        <f t="shared" si="17"/>
        <v>0</v>
      </c>
      <c r="K73" s="3">
        <v>0</v>
      </c>
      <c r="L73">
        <f t="shared" si="18"/>
        <v>0</v>
      </c>
      <c r="M73" s="3">
        <v>0</v>
      </c>
      <c r="N73">
        <f t="shared" si="19"/>
        <v>0</v>
      </c>
      <c r="O73" s="2">
        <v>0</v>
      </c>
      <c r="P73">
        <f t="shared" si="20"/>
        <v>0</v>
      </c>
      <c r="Q73" s="2">
        <v>0</v>
      </c>
      <c r="R73">
        <f t="shared" si="21"/>
        <v>0</v>
      </c>
      <c r="S73" s="2">
        <v>0</v>
      </c>
      <c r="T73">
        <f t="shared" si="22"/>
        <v>0</v>
      </c>
      <c r="U73" s="2">
        <v>0</v>
      </c>
      <c r="V73">
        <f t="shared" si="23"/>
        <v>0</v>
      </c>
      <c r="W73" s="2">
        <v>0</v>
      </c>
      <c r="X73">
        <f t="shared" si="24"/>
        <v>0</v>
      </c>
      <c r="Y73" s="2">
        <v>0</v>
      </c>
      <c r="Z73">
        <f t="shared" si="25"/>
        <v>0</v>
      </c>
    </row>
    <row r="74" spans="1:26" x14ac:dyDescent="0.2">
      <c r="A74" s="3">
        <v>0</v>
      </c>
      <c r="B74">
        <f t="shared" si="13"/>
        <v>0</v>
      </c>
      <c r="C74" s="3">
        <v>0</v>
      </c>
      <c r="D74">
        <f t="shared" si="14"/>
        <v>0</v>
      </c>
      <c r="E74" s="3">
        <v>0</v>
      </c>
      <c r="F74">
        <f t="shared" si="15"/>
        <v>0</v>
      </c>
      <c r="G74" s="3">
        <v>0</v>
      </c>
      <c r="H74">
        <f t="shared" si="16"/>
        <v>0</v>
      </c>
      <c r="I74" s="3">
        <v>0</v>
      </c>
      <c r="J74">
        <f t="shared" si="17"/>
        <v>0</v>
      </c>
      <c r="K74" s="3">
        <v>0</v>
      </c>
      <c r="L74">
        <f t="shared" si="18"/>
        <v>0</v>
      </c>
      <c r="M74" s="3">
        <v>0</v>
      </c>
      <c r="N74">
        <f t="shared" si="19"/>
        <v>0</v>
      </c>
      <c r="O74" s="2">
        <v>0</v>
      </c>
      <c r="P74">
        <f t="shared" si="20"/>
        <v>0</v>
      </c>
      <c r="Q74" s="2">
        <v>0</v>
      </c>
      <c r="R74">
        <f t="shared" si="21"/>
        <v>0</v>
      </c>
      <c r="S74" s="2">
        <v>0</v>
      </c>
      <c r="T74">
        <f t="shared" si="22"/>
        <v>0</v>
      </c>
      <c r="U74" s="2">
        <v>0</v>
      </c>
      <c r="V74">
        <f t="shared" si="23"/>
        <v>0</v>
      </c>
      <c r="W74" s="2">
        <v>0</v>
      </c>
      <c r="X74">
        <f t="shared" si="24"/>
        <v>0</v>
      </c>
      <c r="Y74" s="2">
        <v>0</v>
      </c>
      <c r="Z74">
        <f t="shared" si="25"/>
        <v>0</v>
      </c>
    </row>
    <row r="75" spans="1:26" x14ac:dyDescent="0.2">
      <c r="A75" s="3">
        <v>0</v>
      </c>
      <c r="B75">
        <f t="shared" si="13"/>
        <v>0</v>
      </c>
      <c r="C75" s="3">
        <v>0</v>
      </c>
      <c r="D75">
        <f t="shared" si="14"/>
        <v>0</v>
      </c>
      <c r="E75" s="3">
        <v>0</v>
      </c>
      <c r="F75">
        <f t="shared" si="15"/>
        <v>0</v>
      </c>
      <c r="G75" s="3">
        <v>0</v>
      </c>
      <c r="H75">
        <f t="shared" si="16"/>
        <v>0</v>
      </c>
      <c r="I75" s="3">
        <v>0</v>
      </c>
      <c r="J75">
        <f t="shared" si="17"/>
        <v>0</v>
      </c>
      <c r="K75" s="3">
        <v>0</v>
      </c>
      <c r="L75">
        <f t="shared" si="18"/>
        <v>0</v>
      </c>
      <c r="M75" s="3">
        <v>0</v>
      </c>
      <c r="N75">
        <f t="shared" si="19"/>
        <v>0</v>
      </c>
      <c r="O75" s="2">
        <v>0</v>
      </c>
      <c r="P75">
        <f t="shared" si="20"/>
        <v>0</v>
      </c>
      <c r="Q75" s="2">
        <v>0</v>
      </c>
      <c r="R75">
        <f t="shared" si="21"/>
        <v>0</v>
      </c>
      <c r="S75" s="2">
        <v>0</v>
      </c>
      <c r="T75">
        <f t="shared" si="22"/>
        <v>0</v>
      </c>
      <c r="U75" s="2">
        <v>0</v>
      </c>
      <c r="V75">
        <f t="shared" si="23"/>
        <v>0</v>
      </c>
      <c r="W75" s="2">
        <v>0</v>
      </c>
      <c r="X75">
        <f t="shared" si="24"/>
        <v>0</v>
      </c>
      <c r="Y75" s="2">
        <v>0</v>
      </c>
      <c r="Z75">
        <f t="shared" si="25"/>
        <v>0</v>
      </c>
    </row>
    <row r="76" spans="1:26" x14ac:dyDescent="0.2">
      <c r="A76" s="3">
        <v>0</v>
      </c>
      <c r="B76">
        <f t="shared" si="13"/>
        <v>0</v>
      </c>
      <c r="C76" s="3">
        <v>0</v>
      </c>
      <c r="D76">
        <f t="shared" si="14"/>
        <v>0</v>
      </c>
      <c r="E76" s="3">
        <v>0</v>
      </c>
      <c r="F76">
        <f t="shared" si="15"/>
        <v>0</v>
      </c>
      <c r="G76" s="3">
        <v>0</v>
      </c>
      <c r="H76">
        <f t="shared" si="16"/>
        <v>0</v>
      </c>
      <c r="I76" s="3">
        <v>0</v>
      </c>
      <c r="J76">
        <f t="shared" si="17"/>
        <v>0</v>
      </c>
      <c r="K76" s="3">
        <v>0</v>
      </c>
      <c r="L76">
        <f t="shared" si="18"/>
        <v>0</v>
      </c>
      <c r="M76" s="3">
        <v>0</v>
      </c>
      <c r="N76">
        <f t="shared" si="19"/>
        <v>0</v>
      </c>
      <c r="O76" s="2">
        <v>0</v>
      </c>
      <c r="P76">
        <f t="shared" si="20"/>
        <v>0</v>
      </c>
      <c r="Q76" s="2">
        <v>0</v>
      </c>
      <c r="R76">
        <f t="shared" si="21"/>
        <v>0</v>
      </c>
      <c r="S76" s="2">
        <v>0</v>
      </c>
      <c r="T76">
        <f t="shared" si="22"/>
        <v>0</v>
      </c>
      <c r="U76" s="2">
        <v>0</v>
      </c>
      <c r="V76">
        <f t="shared" si="23"/>
        <v>0</v>
      </c>
      <c r="W76" s="2">
        <v>0</v>
      </c>
      <c r="X76">
        <f t="shared" si="24"/>
        <v>0</v>
      </c>
      <c r="Y76" s="2">
        <v>0</v>
      </c>
      <c r="Z76">
        <f t="shared" si="25"/>
        <v>0</v>
      </c>
    </row>
    <row r="77" spans="1:26" x14ac:dyDescent="0.2">
      <c r="A77" s="3">
        <v>0</v>
      </c>
      <c r="B77">
        <f t="shared" si="13"/>
        <v>0</v>
      </c>
      <c r="C77" s="3">
        <v>0</v>
      </c>
      <c r="D77">
        <f t="shared" si="14"/>
        <v>0</v>
      </c>
      <c r="E77" s="3">
        <v>0</v>
      </c>
      <c r="F77">
        <f t="shared" si="15"/>
        <v>0</v>
      </c>
      <c r="G77" s="3">
        <v>0</v>
      </c>
      <c r="H77">
        <f t="shared" si="16"/>
        <v>0</v>
      </c>
      <c r="I77" s="3">
        <v>0</v>
      </c>
      <c r="J77">
        <f t="shared" si="17"/>
        <v>0</v>
      </c>
      <c r="K77" s="3">
        <v>0</v>
      </c>
      <c r="L77">
        <f t="shared" si="18"/>
        <v>0</v>
      </c>
      <c r="M77" s="3">
        <v>0</v>
      </c>
      <c r="N77">
        <f t="shared" si="19"/>
        <v>0</v>
      </c>
      <c r="O77" s="2">
        <v>0</v>
      </c>
      <c r="P77">
        <f t="shared" si="20"/>
        <v>0</v>
      </c>
      <c r="Q77" s="2">
        <v>0</v>
      </c>
      <c r="R77">
        <f t="shared" si="21"/>
        <v>0</v>
      </c>
      <c r="S77" s="2">
        <v>0</v>
      </c>
      <c r="T77">
        <f t="shared" si="22"/>
        <v>0</v>
      </c>
      <c r="U77" s="2">
        <v>0</v>
      </c>
      <c r="V77">
        <f t="shared" si="23"/>
        <v>0</v>
      </c>
      <c r="W77" s="2">
        <v>0</v>
      </c>
      <c r="X77">
        <f t="shared" si="24"/>
        <v>0</v>
      </c>
      <c r="Y77" s="2">
        <v>0</v>
      </c>
      <c r="Z77">
        <f t="shared" si="25"/>
        <v>0</v>
      </c>
    </row>
    <row r="78" spans="1:26" x14ac:dyDescent="0.2">
      <c r="A78" s="3">
        <v>0</v>
      </c>
      <c r="B78">
        <f t="shared" si="13"/>
        <v>0</v>
      </c>
      <c r="C78" s="3">
        <v>0</v>
      </c>
      <c r="D78">
        <f t="shared" si="14"/>
        <v>0</v>
      </c>
      <c r="E78" s="3">
        <v>0</v>
      </c>
      <c r="F78">
        <f t="shared" si="15"/>
        <v>0</v>
      </c>
      <c r="G78" s="3">
        <v>0</v>
      </c>
      <c r="H78">
        <f t="shared" si="16"/>
        <v>0</v>
      </c>
      <c r="I78" s="3">
        <v>0</v>
      </c>
      <c r="J78">
        <f t="shared" si="17"/>
        <v>0</v>
      </c>
      <c r="K78" s="3">
        <v>0</v>
      </c>
      <c r="L78">
        <f t="shared" si="18"/>
        <v>0</v>
      </c>
      <c r="M78" s="3">
        <v>0</v>
      </c>
      <c r="N78">
        <f t="shared" si="19"/>
        <v>0</v>
      </c>
      <c r="O78" s="2">
        <v>0</v>
      </c>
      <c r="P78">
        <f t="shared" si="20"/>
        <v>0</v>
      </c>
      <c r="Q78" s="2">
        <v>0</v>
      </c>
      <c r="R78">
        <f t="shared" si="21"/>
        <v>0</v>
      </c>
      <c r="S78" s="2">
        <v>0</v>
      </c>
      <c r="T78">
        <f t="shared" si="22"/>
        <v>0</v>
      </c>
      <c r="U78" s="2">
        <v>0</v>
      </c>
      <c r="V78">
        <f t="shared" si="23"/>
        <v>0</v>
      </c>
      <c r="W78" s="2">
        <v>0</v>
      </c>
      <c r="X78">
        <f t="shared" si="24"/>
        <v>0</v>
      </c>
      <c r="Y78" s="2">
        <v>0</v>
      </c>
      <c r="Z78">
        <f t="shared" si="25"/>
        <v>0</v>
      </c>
    </row>
    <row r="79" spans="1:26" x14ac:dyDescent="0.2">
      <c r="A79" s="3">
        <v>0</v>
      </c>
      <c r="B79">
        <f t="shared" si="13"/>
        <v>0</v>
      </c>
      <c r="C79" s="3">
        <v>0</v>
      </c>
      <c r="D79">
        <f t="shared" si="14"/>
        <v>0</v>
      </c>
      <c r="E79" s="3">
        <v>0</v>
      </c>
      <c r="F79">
        <f t="shared" si="15"/>
        <v>0</v>
      </c>
      <c r="G79" s="3">
        <v>0</v>
      </c>
      <c r="H79">
        <f t="shared" si="16"/>
        <v>0</v>
      </c>
      <c r="I79" s="3">
        <v>0</v>
      </c>
      <c r="J79">
        <f t="shared" si="17"/>
        <v>0</v>
      </c>
      <c r="K79" s="3">
        <v>0</v>
      </c>
      <c r="L79">
        <f t="shared" si="18"/>
        <v>0</v>
      </c>
      <c r="M79" s="3">
        <v>0</v>
      </c>
      <c r="N79">
        <f t="shared" si="19"/>
        <v>0</v>
      </c>
      <c r="O79" s="2">
        <v>0</v>
      </c>
      <c r="P79">
        <f t="shared" si="20"/>
        <v>0</v>
      </c>
      <c r="Q79" s="2">
        <v>0</v>
      </c>
      <c r="R79">
        <f t="shared" si="21"/>
        <v>0</v>
      </c>
      <c r="S79" s="2">
        <v>0</v>
      </c>
      <c r="T79">
        <f t="shared" si="22"/>
        <v>0</v>
      </c>
      <c r="U79" s="2">
        <v>0</v>
      </c>
      <c r="V79">
        <f t="shared" si="23"/>
        <v>0</v>
      </c>
      <c r="W79" s="2">
        <v>0</v>
      </c>
      <c r="X79">
        <f t="shared" si="24"/>
        <v>0</v>
      </c>
      <c r="Y79" s="2">
        <v>0</v>
      </c>
      <c r="Z79">
        <f t="shared" si="25"/>
        <v>0</v>
      </c>
    </row>
    <row r="80" spans="1:26" x14ac:dyDescent="0.2">
      <c r="A80" s="3">
        <v>0</v>
      </c>
      <c r="B80">
        <f t="shared" si="13"/>
        <v>0</v>
      </c>
      <c r="C80" s="3">
        <v>0</v>
      </c>
      <c r="D80">
        <f t="shared" si="14"/>
        <v>0</v>
      </c>
      <c r="E80" s="3">
        <v>0</v>
      </c>
      <c r="F80">
        <f t="shared" si="15"/>
        <v>0</v>
      </c>
      <c r="G80" s="3">
        <v>0</v>
      </c>
      <c r="H80">
        <f t="shared" si="16"/>
        <v>0</v>
      </c>
      <c r="I80" s="3">
        <v>0</v>
      </c>
      <c r="J80">
        <f t="shared" si="17"/>
        <v>0</v>
      </c>
      <c r="K80" s="3">
        <v>0</v>
      </c>
      <c r="L80">
        <f t="shared" si="18"/>
        <v>0</v>
      </c>
      <c r="M80" s="3">
        <v>0</v>
      </c>
      <c r="N80">
        <f t="shared" si="19"/>
        <v>0</v>
      </c>
      <c r="O80" s="2">
        <v>0</v>
      </c>
      <c r="P80">
        <f t="shared" si="20"/>
        <v>0</v>
      </c>
      <c r="Q80" s="2">
        <v>0</v>
      </c>
      <c r="R80">
        <f t="shared" si="21"/>
        <v>0</v>
      </c>
      <c r="S80" s="2">
        <v>0</v>
      </c>
      <c r="T80">
        <f t="shared" si="22"/>
        <v>0</v>
      </c>
      <c r="U80" s="2">
        <v>0</v>
      </c>
      <c r="V80">
        <f t="shared" si="23"/>
        <v>0</v>
      </c>
      <c r="W80" s="2">
        <v>0</v>
      </c>
      <c r="X80">
        <f t="shared" si="24"/>
        <v>0</v>
      </c>
      <c r="Y80" s="2">
        <v>0</v>
      </c>
      <c r="Z80">
        <f t="shared" si="25"/>
        <v>0</v>
      </c>
    </row>
    <row r="81" spans="1:26" x14ac:dyDescent="0.2">
      <c r="A81" s="3">
        <v>0</v>
      </c>
      <c r="B81">
        <f t="shared" si="13"/>
        <v>0</v>
      </c>
      <c r="C81" s="3">
        <v>0</v>
      </c>
      <c r="D81">
        <f t="shared" si="14"/>
        <v>0</v>
      </c>
      <c r="E81" s="3">
        <v>0</v>
      </c>
      <c r="F81">
        <f t="shared" si="15"/>
        <v>0</v>
      </c>
      <c r="G81" s="3">
        <v>0</v>
      </c>
      <c r="H81">
        <f t="shared" si="16"/>
        <v>0</v>
      </c>
      <c r="I81" s="3">
        <v>0</v>
      </c>
      <c r="J81">
        <f t="shared" si="17"/>
        <v>0</v>
      </c>
      <c r="K81" s="3">
        <v>0</v>
      </c>
      <c r="L81">
        <f t="shared" si="18"/>
        <v>0</v>
      </c>
      <c r="M81" s="3">
        <v>0</v>
      </c>
      <c r="N81">
        <f t="shared" si="19"/>
        <v>0</v>
      </c>
      <c r="O81" s="2">
        <v>0</v>
      </c>
      <c r="P81">
        <f t="shared" si="20"/>
        <v>0</v>
      </c>
      <c r="Q81" s="2">
        <v>0</v>
      </c>
      <c r="R81">
        <f t="shared" si="21"/>
        <v>0</v>
      </c>
      <c r="S81" s="2">
        <v>0</v>
      </c>
      <c r="T81">
        <f t="shared" si="22"/>
        <v>0</v>
      </c>
      <c r="U81" s="2">
        <v>0</v>
      </c>
      <c r="V81">
        <f t="shared" si="23"/>
        <v>0</v>
      </c>
      <c r="W81" s="2">
        <v>0</v>
      </c>
      <c r="X81">
        <f t="shared" si="24"/>
        <v>0</v>
      </c>
      <c r="Y81" s="2">
        <v>0</v>
      </c>
      <c r="Z81">
        <f t="shared" si="25"/>
        <v>0</v>
      </c>
    </row>
    <row r="82" spans="1:26" x14ac:dyDescent="0.2">
      <c r="A82" s="3">
        <v>0</v>
      </c>
      <c r="B82">
        <f t="shared" si="13"/>
        <v>0</v>
      </c>
      <c r="C82" s="3">
        <v>0</v>
      </c>
      <c r="D82">
        <f t="shared" si="14"/>
        <v>0</v>
      </c>
      <c r="E82" s="3">
        <v>0</v>
      </c>
      <c r="F82">
        <f t="shared" si="15"/>
        <v>0</v>
      </c>
      <c r="G82" s="3">
        <v>0</v>
      </c>
      <c r="H82">
        <f t="shared" si="16"/>
        <v>0</v>
      </c>
      <c r="I82" s="3">
        <v>0</v>
      </c>
      <c r="J82">
        <f t="shared" si="17"/>
        <v>0</v>
      </c>
      <c r="K82" s="3">
        <v>0</v>
      </c>
      <c r="L82">
        <f t="shared" si="18"/>
        <v>0</v>
      </c>
      <c r="M82" s="3">
        <v>0</v>
      </c>
      <c r="N82">
        <f t="shared" si="19"/>
        <v>0</v>
      </c>
      <c r="O82" s="2">
        <v>0</v>
      </c>
      <c r="P82">
        <f t="shared" si="20"/>
        <v>0</v>
      </c>
      <c r="Q82" s="2">
        <v>0</v>
      </c>
      <c r="R82">
        <f t="shared" si="21"/>
        <v>0</v>
      </c>
      <c r="S82" s="2">
        <v>0</v>
      </c>
      <c r="T82">
        <f t="shared" si="22"/>
        <v>0</v>
      </c>
      <c r="U82" s="2">
        <v>0</v>
      </c>
      <c r="V82">
        <f t="shared" si="23"/>
        <v>0</v>
      </c>
      <c r="W82" s="2">
        <v>0</v>
      </c>
      <c r="X82">
        <f t="shared" si="24"/>
        <v>0</v>
      </c>
      <c r="Y82" s="2">
        <v>0</v>
      </c>
      <c r="Z82">
        <f t="shared" si="25"/>
        <v>0</v>
      </c>
    </row>
    <row r="83" spans="1:26" x14ac:dyDescent="0.2">
      <c r="A83" s="3">
        <v>0</v>
      </c>
      <c r="B83">
        <f t="shared" si="13"/>
        <v>0</v>
      </c>
      <c r="C83" s="3">
        <v>0</v>
      </c>
      <c r="D83">
        <f t="shared" si="14"/>
        <v>0</v>
      </c>
      <c r="E83" s="3">
        <v>0</v>
      </c>
      <c r="F83">
        <f t="shared" si="15"/>
        <v>0</v>
      </c>
      <c r="G83" s="3">
        <v>0</v>
      </c>
      <c r="H83">
        <f t="shared" si="16"/>
        <v>0</v>
      </c>
      <c r="I83" s="3">
        <v>0</v>
      </c>
      <c r="J83">
        <f t="shared" si="17"/>
        <v>0</v>
      </c>
      <c r="K83" s="3">
        <v>0</v>
      </c>
      <c r="L83">
        <f t="shared" si="18"/>
        <v>0</v>
      </c>
      <c r="M83" s="3">
        <v>0</v>
      </c>
      <c r="N83">
        <f t="shared" si="19"/>
        <v>0</v>
      </c>
      <c r="O83" s="2">
        <v>0</v>
      </c>
      <c r="P83">
        <f t="shared" si="20"/>
        <v>0</v>
      </c>
      <c r="Q83" s="2">
        <v>0</v>
      </c>
      <c r="R83">
        <f t="shared" si="21"/>
        <v>0</v>
      </c>
      <c r="S83" s="2">
        <v>0</v>
      </c>
      <c r="T83">
        <f t="shared" si="22"/>
        <v>0</v>
      </c>
      <c r="U83" s="2">
        <v>0</v>
      </c>
      <c r="V83">
        <f t="shared" si="23"/>
        <v>0</v>
      </c>
      <c r="W83" s="2">
        <v>0</v>
      </c>
      <c r="X83">
        <f t="shared" si="24"/>
        <v>0</v>
      </c>
      <c r="Y83" s="2">
        <v>0</v>
      </c>
      <c r="Z83">
        <f t="shared" si="25"/>
        <v>0</v>
      </c>
    </row>
    <row r="84" spans="1:26" x14ac:dyDescent="0.2">
      <c r="A84" s="3">
        <v>0</v>
      </c>
      <c r="B84">
        <f t="shared" si="13"/>
        <v>0</v>
      </c>
      <c r="C84" s="3">
        <v>0</v>
      </c>
      <c r="D84">
        <f t="shared" si="14"/>
        <v>0</v>
      </c>
      <c r="E84" s="3">
        <v>0</v>
      </c>
      <c r="F84">
        <f t="shared" si="15"/>
        <v>0</v>
      </c>
      <c r="G84" s="3">
        <v>0</v>
      </c>
      <c r="H84">
        <f t="shared" si="16"/>
        <v>0</v>
      </c>
      <c r="I84" s="3">
        <v>0</v>
      </c>
      <c r="J84">
        <f t="shared" si="17"/>
        <v>0</v>
      </c>
      <c r="K84" s="3">
        <v>0</v>
      </c>
      <c r="L84">
        <f t="shared" si="18"/>
        <v>0</v>
      </c>
      <c r="M84" s="3">
        <v>0</v>
      </c>
      <c r="N84">
        <f t="shared" si="19"/>
        <v>0</v>
      </c>
      <c r="O84" s="2">
        <v>0</v>
      </c>
      <c r="P84">
        <f t="shared" si="20"/>
        <v>0</v>
      </c>
      <c r="Q84" s="2">
        <v>0</v>
      </c>
      <c r="R84">
        <f t="shared" si="21"/>
        <v>0</v>
      </c>
      <c r="S84" s="2">
        <v>0</v>
      </c>
      <c r="T84">
        <f t="shared" si="22"/>
        <v>0</v>
      </c>
      <c r="U84" s="2">
        <v>0</v>
      </c>
      <c r="V84">
        <f t="shared" si="23"/>
        <v>0</v>
      </c>
      <c r="W84" s="2">
        <v>0</v>
      </c>
      <c r="X84">
        <f t="shared" si="24"/>
        <v>0</v>
      </c>
      <c r="Y84" s="2">
        <v>0</v>
      </c>
      <c r="Z84">
        <f t="shared" si="25"/>
        <v>0</v>
      </c>
    </row>
    <row r="85" spans="1:26" x14ac:dyDescent="0.2">
      <c r="A85" s="3">
        <v>0</v>
      </c>
      <c r="B85">
        <f t="shared" si="13"/>
        <v>0</v>
      </c>
      <c r="C85" s="3">
        <v>0</v>
      </c>
      <c r="D85">
        <f t="shared" si="14"/>
        <v>0</v>
      </c>
      <c r="E85" s="3">
        <v>0</v>
      </c>
      <c r="F85">
        <f t="shared" si="15"/>
        <v>0</v>
      </c>
      <c r="G85" s="3">
        <v>0</v>
      </c>
      <c r="H85">
        <f t="shared" si="16"/>
        <v>0</v>
      </c>
      <c r="I85" s="3">
        <v>0</v>
      </c>
      <c r="J85">
        <f t="shared" si="17"/>
        <v>0</v>
      </c>
      <c r="K85" s="3">
        <v>0</v>
      </c>
      <c r="L85">
        <f t="shared" si="18"/>
        <v>0</v>
      </c>
      <c r="M85" s="3">
        <v>0</v>
      </c>
      <c r="N85">
        <f t="shared" si="19"/>
        <v>0</v>
      </c>
      <c r="O85" s="2">
        <v>0</v>
      </c>
      <c r="P85">
        <f t="shared" si="20"/>
        <v>0</v>
      </c>
      <c r="Q85" s="2">
        <v>0</v>
      </c>
      <c r="R85">
        <f t="shared" si="21"/>
        <v>0</v>
      </c>
      <c r="S85" s="2">
        <v>0</v>
      </c>
      <c r="T85">
        <f t="shared" si="22"/>
        <v>0</v>
      </c>
      <c r="U85" s="2">
        <v>0</v>
      </c>
      <c r="V85">
        <f t="shared" si="23"/>
        <v>0</v>
      </c>
      <c r="W85" s="2">
        <v>0</v>
      </c>
      <c r="X85">
        <f t="shared" si="24"/>
        <v>0</v>
      </c>
      <c r="Y85" s="2">
        <v>0</v>
      </c>
      <c r="Z85">
        <f t="shared" si="25"/>
        <v>0</v>
      </c>
    </row>
    <row r="86" spans="1:26" x14ac:dyDescent="0.2">
      <c r="A86" s="3">
        <v>0</v>
      </c>
      <c r="B86">
        <f t="shared" si="13"/>
        <v>0</v>
      </c>
      <c r="C86" s="3">
        <v>0</v>
      </c>
      <c r="D86">
        <f t="shared" si="14"/>
        <v>0</v>
      </c>
      <c r="E86" s="3">
        <v>0</v>
      </c>
      <c r="F86">
        <f t="shared" si="15"/>
        <v>0</v>
      </c>
      <c r="G86" s="3">
        <v>0</v>
      </c>
      <c r="H86">
        <f t="shared" si="16"/>
        <v>0</v>
      </c>
      <c r="I86" s="3">
        <v>0</v>
      </c>
      <c r="J86">
        <f t="shared" si="17"/>
        <v>0</v>
      </c>
      <c r="K86" s="3">
        <v>0</v>
      </c>
      <c r="L86">
        <f t="shared" si="18"/>
        <v>0</v>
      </c>
      <c r="M86" s="3">
        <v>0</v>
      </c>
      <c r="N86">
        <f t="shared" si="19"/>
        <v>0</v>
      </c>
      <c r="O86" s="2">
        <v>0</v>
      </c>
      <c r="P86">
        <f t="shared" si="20"/>
        <v>0</v>
      </c>
      <c r="Q86" s="2">
        <v>0</v>
      </c>
      <c r="R86">
        <f t="shared" si="21"/>
        <v>0</v>
      </c>
      <c r="S86" s="2">
        <v>0</v>
      </c>
      <c r="T86">
        <f t="shared" si="22"/>
        <v>0</v>
      </c>
      <c r="U86" s="2">
        <v>0</v>
      </c>
      <c r="V86">
        <f t="shared" si="23"/>
        <v>0</v>
      </c>
      <c r="W86" s="2">
        <v>0</v>
      </c>
      <c r="X86">
        <f t="shared" si="24"/>
        <v>0</v>
      </c>
      <c r="Y86" s="2">
        <v>0</v>
      </c>
      <c r="Z86">
        <f t="shared" si="25"/>
        <v>0</v>
      </c>
    </row>
    <row r="87" spans="1:26" x14ac:dyDescent="0.2">
      <c r="A87" s="3">
        <v>0</v>
      </c>
      <c r="B87">
        <f t="shared" si="13"/>
        <v>0</v>
      </c>
      <c r="C87" s="3">
        <v>0</v>
      </c>
      <c r="D87">
        <f t="shared" si="14"/>
        <v>0</v>
      </c>
      <c r="E87" s="3">
        <v>0</v>
      </c>
      <c r="F87">
        <f t="shared" si="15"/>
        <v>0</v>
      </c>
      <c r="G87" s="3">
        <v>0</v>
      </c>
      <c r="H87">
        <f t="shared" si="16"/>
        <v>0</v>
      </c>
      <c r="I87" s="3">
        <v>0</v>
      </c>
      <c r="J87">
        <f t="shared" si="17"/>
        <v>0</v>
      </c>
      <c r="K87" s="3">
        <v>0</v>
      </c>
      <c r="L87">
        <f t="shared" si="18"/>
        <v>0</v>
      </c>
      <c r="M87" s="3">
        <v>0</v>
      </c>
      <c r="N87">
        <f t="shared" si="19"/>
        <v>0</v>
      </c>
      <c r="O87" s="2">
        <v>0</v>
      </c>
      <c r="P87">
        <f t="shared" si="20"/>
        <v>0</v>
      </c>
      <c r="Q87" s="2">
        <v>0</v>
      </c>
      <c r="R87">
        <f t="shared" si="21"/>
        <v>0</v>
      </c>
      <c r="S87" s="2">
        <v>0</v>
      </c>
      <c r="T87">
        <f t="shared" si="22"/>
        <v>0</v>
      </c>
      <c r="U87" s="2">
        <v>0</v>
      </c>
      <c r="V87">
        <f t="shared" si="23"/>
        <v>0</v>
      </c>
      <c r="W87" s="2">
        <v>0</v>
      </c>
      <c r="X87">
        <f t="shared" si="24"/>
        <v>0</v>
      </c>
      <c r="Y87" s="2">
        <v>0</v>
      </c>
      <c r="Z87">
        <f t="shared" si="25"/>
        <v>0</v>
      </c>
    </row>
    <row r="88" spans="1:26" x14ac:dyDescent="0.2">
      <c r="A88" s="3">
        <v>0</v>
      </c>
      <c r="B88">
        <f t="shared" si="13"/>
        <v>0</v>
      </c>
      <c r="C88" s="3">
        <v>0</v>
      </c>
      <c r="D88">
        <f t="shared" si="14"/>
        <v>0</v>
      </c>
      <c r="E88" s="3">
        <v>0</v>
      </c>
      <c r="F88">
        <f t="shared" si="15"/>
        <v>0</v>
      </c>
      <c r="G88" s="3">
        <v>0</v>
      </c>
      <c r="H88">
        <f t="shared" si="16"/>
        <v>0</v>
      </c>
      <c r="I88" s="3">
        <v>0</v>
      </c>
      <c r="J88">
        <f t="shared" si="17"/>
        <v>0</v>
      </c>
      <c r="K88" s="3">
        <v>0</v>
      </c>
      <c r="L88">
        <f t="shared" si="18"/>
        <v>0</v>
      </c>
      <c r="M88" s="3">
        <v>0</v>
      </c>
      <c r="N88">
        <f t="shared" si="19"/>
        <v>0</v>
      </c>
      <c r="O88" s="2">
        <v>0</v>
      </c>
      <c r="P88">
        <f t="shared" si="20"/>
        <v>0</v>
      </c>
      <c r="Q88" s="2">
        <v>0</v>
      </c>
      <c r="R88">
        <f t="shared" si="21"/>
        <v>0</v>
      </c>
      <c r="S88" s="2">
        <v>0</v>
      </c>
      <c r="T88">
        <f t="shared" si="22"/>
        <v>0</v>
      </c>
      <c r="U88" s="2">
        <v>0</v>
      </c>
      <c r="V88">
        <f t="shared" si="23"/>
        <v>0</v>
      </c>
      <c r="W88" s="2">
        <v>0</v>
      </c>
      <c r="X88">
        <f t="shared" si="24"/>
        <v>0</v>
      </c>
      <c r="Y88" s="2">
        <v>0</v>
      </c>
      <c r="Z88">
        <f t="shared" si="25"/>
        <v>0</v>
      </c>
    </row>
    <row r="89" spans="1:26" x14ac:dyDescent="0.2">
      <c r="A89" s="3">
        <v>0</v>
      </c>
      <c r="B89">
        <f t="shared" si="13"/>
        <v>0</v>
      </c>
      <c r="C89" s="3">
        <v>0</v>
      </c>
      <c r="D89">
        <f t="shared" si="14"/>
        <v>0</v>
      </c>
      <c r="E89" s="3">
        <v>0</v>
      </c>
      <c r="F89">
        <f t="shared" si="15"/>
        <v>0</v>
      </c>
      <c r="G89" s="3">
        <v>0</v>
      </c>
      <c r="H89">
        <f t="shared" si="16"/>
        <v>0</v>
      </c>
      <c r="I89" s="3">
        <v>0</v>
      </c>
      <c r="J89">
        <f t="shared" si="17"/>
        <v>0</v>
      </c>
      <c r="K89" s="3">
        <v>0</v>
      </c>
      <c r="L89">
        <f t="shared" si="18"/>
        <v>0</v>
      </c>
      <c r="M89" s="3">
        <v>0</v>
      </c>
      <c r="N89">
        <f t="shared" si="19"/>
        <v>0</v>
      </c>
      <c r="O89" s="2">
        <v>0</v>
      </c>
      <c r="P89">
        <f t="shared" si="20"/>
        <v>0</v>
      </c>
      <c r="Q89" s="2">
        <v>0</v>
      </c>
      <c r="R89">
        <f t="shared" si="21"/>
        <v>0</v>
      </c>
      <c r="S89" s="2">
        <v>0</v>
      </c>
      <c r="T89">
        <f t="shared" si="22"/>
        <v>0</v>
      </c>
      <c r="U89" s="2">
        <v>0</v>
      </c>
      <c r="V89">
        <f t="shared" si="23"/>
        <v>0</v>
      </c>
      <c r="W89" s="2">
        <v>0</v>
      </c>
      <c r="X89">
        <f t="shared" si="24"/>
        <v>0</v>
      </c>
      <c r="Y89" s="2">
        <v>0</v>
      </c>
      <c r="Z89">
        <f t="shared" si="25"/>
        <v>0</v>
      </c>
    </row>
    <row r="90" spans="1:26" x14ac:dyDescent="0.2">
      <c r="A90" s="3">
        <v>0</v>
      </c>
      <c r="B90">
        <f t="shared" si="13"/>
        <v>0</v>
      </c>
      <c r="C90" s="3">
        <v>0</v>
      </c>
      <c r="D90">
        <f t="shared" si="14"/>
        <v>0</v>
      </c>
      <c r="E90" s="3">
        <v>0</v>
      </c>
      <c r="F90">
        <f t="shared" si="15"/>
        <v>0</v>
      </c>
      <c r="G90" s="3">
        <v>0</v>
      </c>
      <c r="H90">
        <f t="shared" si="16"/>
        <v>0</v>
      </c>
      <c r="I90" s="3">
        <v>0</v>
      </c>
      <c r="J90">
        <f t="shared" si="17"/>
        <v>0</v>
      </c>
      <c r="K90" s="3">
        <v>0</v>
      </c>
      <c r="L90">
        <f t="shared" si="18"/>
        <v>0</v>
      </c>
      <c r="M90" s="3">
        <v>0</v>
      </c>
      <c r="N90">
        <f t="shared" si="19"/>
        <v>0</v>
      </c>
      <c r="O90" s="2">
        <v>0</v>
      </c>
      <c r="P90">
        <f t="shared" si="20"/>
        <v>0</v>
      </c>
      <c r="Q90" s="2">
        <v>0</v>
      </c>
      <c r="R90">
        <f t="shared" si="21"/>
        <v>0</v>
      </c>
      <c r="S90" s="2">
        <v>0</v>
      </c>
      <c r="T90">
        <f t="shared" si="22"/>
        <v>0</v>
      </c>
      <c r="U90" s="2">
        <v>0</v>
      </c>
      <c r="V90">
        <f t="shared" si="23"/>
        <v>0</v>
      </c>
      <c r="W90" s="2">
        <v>0</v>
      </c>
      <c r="X90">
        <f t="shared" si="24"/>
        <v>0</v>
      </c>
      <c r="Y90" s="2">
        <v>0</v>
      </c>
      <c r="Z90">
        <f t="shared" si="25"/>
        <v>0</v>
      </c>
    </row>
    <row r="91" spans="1:26" x14ac:dyDescent="0.2">
      <c r="A91" s="3">
        <v>0</v>
      </c>
      <c r="B91">
        <f t="shared" si="13"/>
        <v>0</v>
      </c>
      <c r="C91" s="3">
        <v>0</v>
      </c>
      <c r="D91">
        <f t="shared" si="14"/>
        <v>0</v>
      </c>
      <c r="E91" s="3">
        <v>0</v>
      </c>
      <c r="F91">
        <f t="shared" si="15"/>
        <v>0</v>
      </c>
      <c r="G91" s="3">
        <v>0</v>
      </c>
      <c r="H91">
        <f t="shared" si="16"/>
        <v>0</v>
      </c>
      <c r="I91" s="3">
        <v>0</v>
      </c>
      <c r="J91">
        <f t="shared" si="17"/>
        <v>0</v>
      </c>
      <c r="K91" s="3">
        <v>0</v>
      </c>
      <c r="L91">
        <f t="shared" si="18"/>
        <v>0</v>
      </c>
      <c r="M91" s="3">
        <v>0</v>
      </c>
      <c r="N91">
        <f t="shared" si="19"/>
        <v>0</v>
      </c>
      <c r="O91" s="2">
        <v>0</v>
      </c>
      <c r="P91">
        <f t="shared" si="20"/>
        <v>0</v>
      </c>
      <c r="Q91" s="2">
        <v>0</v>
      </c>
      <c r="R91">
        <f t="shared" si="21"/>
        <v>0</v>
      </c>
      <c r="S91" s="2">
        <v>0</v>
      </c>
      <c r="T91">
        <f t="shared" si="22"/>
        <v>0</v>
      </c>
      <c r="U91" s="2">
        <v>0</v>
      </c>
      <c r="V91">
        <f t="shared" si="23"/>
        <v>0</v>
      </c>
      <c r="W91" s="2">
        <v>0</v>
      </c>
      <c r="X91">
        <f t="shared" si="24"/>
        <v>0</v>
      </c>
      <c r="Y91" s="2">
        <v>0</v>
      </c>
      <c r="Z91">
        <f t="shared" si="25"/>
        <v>0</v>
      </c>
    </row>
    <row r="92" spans="1:26" x14ac:dyDescent="0.2">
      <c r="A92" s="3">
        <v>0</v>
      </c>
      <c r="B92">
        <f t="shared" si="13"/>
        <v>0</v>
      </c>
      <c r="C92" s="3">
        <v>0</v>
      </c>
      <c r="D92">
        <f t="shared" si="14"/>
        <v>0</v>
      </c>
      <c r="E92" s="3">
        <v>0</v>
      </c>
      <c r="F92">
        <f t="shared" si="15"/>
        <v>0</v>
      </c>
      <c r="G92" s="3">
        <v>0</v>
      </c>
      <c r="H92">
        <f t="shared" si="16"/>
        <v>0</v>
      </c>
      <c r="I92" s="3">
        <v>0</v>
      </c>
      <c r="J92">
        <f t="shared" si="17"/>
        <v>0</v>
      </c>
      <c r="K92" s="3">
        <v>0</v>
      </c>
      <c r="L92">
        <f t="shared" si="18"/>
        <v>0</v>
      </c>
      <c r="M92" s="3">
        <v>0</v>
      </c>
      <c r="N92">
        <f t="shared" si="19"/>
        <v>0</v>
      </c>
      <c r="O92" s="2">
        <v>0</v>
      </c>
      <c r="P92">
        <f t="shared" si="20"/>
        <v>0</v>
      </c>
      <c r="Q92" s="2">
        <v>0</v>
      </c>
      <c r="R92">
        <f t="shared" si="21"/>
        <v>0</v>
      </c>
      <c r="S92" s="2">
        <v>0</v>
      </c>
      <c r="T92">
        <f t="shared" si="22"/>
        <v>0</v>
      </c>
      <c r="U92" s="2">
        <v>0</v>
      </c>
      <c r="V92">
        <f t="shared" si="23"/>
        <v>0</v>
      </c>
      <c r="W92" s="2">
        <v>0</v>
      </c>
      <c r="X92">
        <f t="shared" si="24"/>
        <v>0</v>
      </c>
      <c r="Y92" s="2">
        <v>0</v>
      </c>
      <c r="Z92">
        <f t="shared" si="25"/>
        <v>0</v>
      </c>
    </row>
    <row r="93" spans="1:26" x14ac:dyDescent="0.2">
      <c r="A93" s="3">
        <v>0</v>
      </c>
      <c r="B93">
        <f t="shared" si="13"/>
        <v>0</v>
      </c>
      <c r="C93" s="3">
        <v>0</v>
      </c>
      <c r="D93">
        <f t="shared" si="14"/>
        <v>0</v>
      </c>
      <c r="E93" s="3">
        <v>0</v>
      </c>
      <c r="F93">
        <f t="shared" si="15"/>
        <v>0</v>
      </c>
      <c r="G93" s="3">
        <v>0</v>
      </c>
      <c r="H93">
        <f t="shared" si="16"/>
        <v>0</v>
      </c>
      <c r="I93" s="3">
        <v>0</v>
      </c>
      <c r="J93">
        <f t="shared" si="17"/>
        <v>0</v>
      </c>
      <c r="K93" s="3">
        <v>0</v>
      </c>
      <c r="L93">
        <f t="shared" si="18"/>
        <v>0</v>
      </c>
      <c r="M93" s="3">
        <v>0</v>
      </c>
      <c r="N93">
        <f t="shared" si="19"/>
        <v>0</v>
      </c>
      <c r="O93" s="2">
        <v>0</v>
      </c>
      <c r="P93">
        <f t="shared" si="20"/>
        <v>0</v>
      </c>
      <c r="Q93" s="2">
        <v>0</v>
      </c>
      <c r="R93">
        <f t="shared" si="21"/>
        <v>0</v>
      </c>
      <c r="S93" s="2">
        <v>0</v>
      </c>
      <c r="T93">
        <f t="shared" si="22"/>
        <v>0</v>
      </c>
      <c r="U93" s="2">
        <v>0</v>
      </c>
      <c r="V93">
        <f t="shared" si="23"/>
        <v>0</v>
      </c>
      <c r="W93" s="2">
        <v>0</v>
      </c>
      <c r="X93">
        <f t="shared" si="24"/>
        <v>0</v>
      </c>
      <c r="Y93" s="2">
        <v>0</v>
      </c>
      <c r="Z93">
        <f t="shared" si="25"/>
        <v>0</v>
      </c>
    </row>
    <row r="94" spans="1:26" x14ac:dyDescent="0.2">
      <c r="A94" s="3">
        <v>0</v>
      </c>
      <c r="B94">
        <f t="shared" si="13"/>
        <v>0</v>
      </c>
      <c r="C94" s="3">
        <v>0</v>
      </c>
      <c r="D94">
        <f t="shared" si="14"/>
        <v>0</v>
      </c>
      <c r="E94" s="3">
        <v>0</v>
      </c>
      <c r="F94">
        <f t="shared" si="15"/>
        <v>0</v>
      </c>
      <c r="G94" s="3">
        <v>0</v>
      </c>
      <c r="H94">
        <f t="shared" si="16"/>
        <v>0</v>
      </c>
      <c r="I94" s="3">
        <v>0</v>
      </c>
      <c r="J94">
        <f t="shared" si="17"/>
        <v>0</v>
      </c>
      <c r="K94" s="3">
        <v>0</v>
      </c>
      <c r="L94">
        <f t="shared" si="18"/>
        <v>0</v>
      </c>
      <c r="M94" s="3">
        <v>0</v>
      </c>
      <c r="N94">
        <f t="shared" si="19"/>
        <v>0</v>
      </c>
      <c r="O94" s="2">
        <v>0</v>
      </c>
      <c r="P94">
        <f t="shared" si="20"/>
        <v>0</v>
      </c>
      <c r="Q94" s="2">
        <v>0</v>
      </c>
      <c r="R94">
        <f t="shared" si="21"/>
        <v>0</v>
      </c>
      <c r="S94" s="2">
        <v>0</v>
      </c>
      <c r="T94">
        <f t="shared" si="22"/>
        <v>0</v>
      </c>
      <c r="U94" s="2">
        <v>0</v>
      </c>
      <c r="V94">
        <f t="shared" si="23"/>
        <v>0</v>
      </c>
      <c r="W94" s="2">
        <v>0</v>
      </c>
      <c r="X94">
        <f t="shared" si="24"/>
        <v>0</v>
      </c>
      <c r="Y94" s="2">
        <v>0</v>
      </c>
      <c r="Z94">
        <f t="shared" si="25"/>
        <v>0</v>
      </c>
    </row>
    <row r="95" spans="1:26" x14ac:dyDescent="0.2">
      <c r="A95" s="3">
        <v>0</v>
      </c>
      <c r="B95">
        <f t="shared" si="13"/>
        <v>0</v>
      </c>
      <c r="C95" s="3">
        <v>0</v>
      </c>
      <c r="D95">
        <f t="shared" si="14"/>
        <v>0</v>
      </c>
      <c r="E95" s="3">
        <v>0</v>
      </c>
      <c r="F95">
        <f t="shared" si="15"/>
        <v>0</v>
      </c>
      <c r="G95" s="3">
        <v>0</v>
      </c>
      <c r="H95">
        <f t="shared" si="16"/>
        <v>0</v>
      </c>
      <c r="I95" s="3">
        <v>0</v>
      </c>
      <c r="J95">
        <f t="shared" si="17"/>
        <v>0</v>
      </c>
      <c r="K95" s="3">
        <v>0</v>
      </c>
      <c r="L95">
        <f t="shared" si="18"/>
        <v>0</v>
      </c>
      <c r="M95" s="3">
        <v>0</v>
      </c>
      <c r="N95">
        <f t="shared" si="19"/>
        <v>0</v>
      </c>
      <c r="O95" s="2">
        <v>0</v>
      </c>
      <c r="P95">
        <f t="shared" si="20"/>
        <v>0</v>
      </c>
      <c r="Q95" s="2">
        <v>0</v>
      </c>
      <c r="R95">
        <f t="shared" si="21"/>
        <v>0</v>
      </c>
      <c r="S95" s="2">
        <v>0</v>
      </c>
      <c r="T95">
        <f t="shared" si="22"/>
        <v>0</v>
      </c>
      <c r="U95" s="2">
        <v>0</v>
      </c>
      <c r="V95">
        <f t="shared" si="23"/>
        <v>0</v>
      </c>
      <c r="W95" s="2">
        <v>0</v>
      </c>
      <c r="X95">
        <f t="shared" si="24"/>
        <v>0</v>
      </c>
      <c r="Y95" s="2">
        <v>0</v>
      </c>
      <c r="Z95">
        <f t="shared" si="25"/>
        <v>0</v>
      </c>
    </row>
    <row r="96" spans="1:26" x14ac:dyDescent="0.2">
      <c r="A96" s="3">
        <v>0</v>
      </c>
      <c r="B96">
        <f t="shared" si="13"/>
        <v>0</v>
      </c>
      <c r="C96" s="3">
        <v>0</v>
      </c>
      <c r="D96">
        <f t="shared" si="14"/>
        <v>0</v>
      </c>
      <c r="E96" s="3">
        <v>0</v>
      </c>
      <c r="F96">
        <f t="shared" si="15"/>
        <v>0</v>
      </c>
      <c r="G96" s="3">
        <v>0</v>
      </c>
      <c r="H96">
        <f t="shared" si="16"/>
        <v>0</v>
      </c>
      <c r="I96" s="3">
        <v>0</v>
      </c>
      <c r="J96">
        <f t="shared" si="17"/>
        <v>0</v>
      </c>
      <c r="K96" s="3">
        <v>0</v>
      </c>
      <c r="L96">
        <f t="shared" si="18"/>
        <v>0</v>
      </c>
      <c r="M96" s="3">
        <v>0</v>
      </c>
      <c r="N96">
        <f t="shared" si="19"/>
        <v>0</v>
      </c>
      <c r="O96" s="2">
        <v>0</v>
      </c>
      <c r="P96">
        <f t="shared" si="20"/>
        <v>0</v>
      </c>
      <c r="Q96" s="2">
        <v>0</v>
      </c>
      <c r="R96">
        <f t="shared" si="21"/>
        <v>0</v>
      </c>
      <c r="S96" s="2">
        <v>0</v>
      </c>
      <c r="T96">
        <f t="shared" si="22"/>
        <v>0</v>
      </c>
      <c r="U96" s="2">
        <v>0</v>
      </c>
      <c r="V96">
        <f t="shared" si="23"/>
        <v>0</v>
      </c>
      <c r="W96" s="2">
        <v>0</v>
      </c>
      <c r="X96">
        <f t="shared" si="24"/>
        <v>0</v>
      </c>
      <c r="Y96" s="2">
        <v>0</v>
      </c>
      <c r="Z96">
        <f t="shared" si="25"/>
        <v>0</v>
      </c>
    </row>
    <row r="97" spans="1:26" x14ac:dyDescent="0.2">
      <c r="A97" s="3">
        <v>0</v>
      </c>
      <c r="B97">
        <f t="shared" si="13"/>
        <v>0</v>
      </c>
      <c r="C97" s="3">
        <v>0</v>
      </c>
      <c r="D97">
        <f t="shared" si="14"/>
        <v>0</v>
      </c>
      <c r="E97" s="3">
        <v>0</v>
      </c>
      <c r="F97">
        <f t="shared" si="15"/>
        <v>0</v>
      </c>
      <c r="G97" s="3">
        <v>0</v>
      </c>
      <c r="H97">
        <f t="shared" si="16"/>
        <v>0</v>
      </c>
      <c r="I97" s="3">
        <v>0</v>
      </c>
      <c r="J97">
        <f t="shared" si="17"/>
        <v>0</v>
      </c>
      <c r="K97" s="3">
        <v>0</v>
      </c>
      <c r="L97">
        <f t="shared" si="18"/>
        <v>0</v>
      </c>
      <c r="M97" s="3">
        <v>0</v>
      </c>
      <c r="N97">
        <f t="shared" si="19"/>
        <v>0</v>
      </c>
      <c r="O97" s="2">
        <v>0</v>
      </c>
      <c r="P97">
        <f t="shared" si="20"/>
        <v>0</v>
      </c>
      <c r="Q97" s="2">
        <v>0</v>
      </c>
      <c r="R97">
        <f t="shared" si="21"/>
        <v>0</v>
      </c>
      <c r="S97" s="2">
        <v>0</v>
      </c>
      <c r="T97">
        <f t="shared" si="22"/>
        <v>0</v>
      </c>
      <c r="U97" s="2">
        <v>0</v>
      </c>
      <c r="V97">
        <f t="shared" si="23"/>
        <v>0</v>
      </c>
      <c r="W97" s="2">
        <v>0</v>
      </c>
      <c r="X97">
        <f t="shared" si="24"/>
        <v>0</v>
      </c>
      <c r="Y97" s="2">
        <v>0</v>
      </c>
      <c r="Z97">
        <f t="shared" si="25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WT</vt:lpstr>
      <vt:lpstr>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黄俊杰</dc:creator>
  <cp:lastModifiedBy>俊杰 黄</cp:lastModifiedBy>
  <dcterms:created xsi:type="dcterms:W3CDTF">2015-06-05T18:19:34Z</dcterms:created>
  <dcterms:modified xsi:type="dcterms:W3CDTF">2024-01-23T02:06:35Z</dcterms:modified>
</cp:coreProperties>
</file>